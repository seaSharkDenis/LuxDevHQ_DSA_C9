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drawings/drawing8.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Projects\LuxDevHQ_DSA_C9\jumia-product-performance-dashboard\dashboard\"/>
    </mc:Choice>
  </mc:AlternateContent>
  <xr:revisionPtr revIDLastSave="0" documentId="13_ncr:1_{3969F9AD-62F7-45C5-8CAA-1535D8A288AA}" xr6:coauthVersionLast="47" xr6:coauthVersionMax="47" xr10:uidLastSave="{00000000-0000-0000-0000-000000000000}"/>
  <bookViews>
    <workbookView xWindow="20370" yWindow="-2310" windowWidth="25440" windowHeight="15270" tabRatio="881" activeTab="2" xr2:uid="{1527124B-28C8-4FA8-9B32-21E36CE68EFE}"/>
  </bookViews>
  <sheets>
    <sheet name="Raw_Data" sheetId="2" r:id="rId1"/>
    <sheet name="Data_Quality_Audit" sheetId="4" r:id="rId2"/>
    <sheet name="Rating_Mix" sheetId="11" r:id="rId3"/>
    <sheet name="Discount_Mix" sheetId="12" r:id="rId4"/>
    <sheet name="Price_vs_Rating" sheetId="13" r:id="rId5"/>
    <sheet name="Engagement_by_Discount" sheetId="14" r:id="rId6"/>
    <sheet name="Top_Products_By_Rating" sheetId="15" r:id="rId7"/>
    <sheet name="Top_Products_By_Discount" sheetId="16" r:id="rId8"/>
    <sheet name="Top_Products_By_Reviews" sheetId="18" r:id="rId9"/>
    <sheet name="Cleaned_Data" sheetId="7" r:id="rId10"/>
    <sheet name="Analysis_Sheet" sheetId="9" r:id="rId11"/>
    <sheet name="Data_Dictionary" sheetId="5" r:id="rId12"/>
    <sheet name="Dashboard" sheetId="8" r:id="rId13"/>
  </sheets>
  <definedNames>
    <definedName name="ExternalData_1" localSheetId="0" hidden="1">Raw_Data!$A$1:$F$116</definedName>
    <definedName name="ExternalData_2" localSheetId="9" hidden="1">Cleaned_Data!$A$1:$F$113</definedName>
    <definedName name="Price_Q1">Analysis_Sheet!$A$4</definedName>
    <definedName name="Price_Q3">Analysis_Sheet!$B$4</definedName>
    <definedName name="Review_P75">Analysis_Sheet!$C$4</definedName>
    <definedName name="Slicer_Discount_Category">#N/A</definedName>
    <definedName name="Slicer_Price_Category">#N/A</definedName>
    <definedName name="Slicer_Rating_Category">#N/A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17" i="2" l="1"/>
  <c r="I4" i="9"/>
  <c r="D33" i="9" a="1"/>
  <c r="D33" i="9" s="1"/>
  <c r="C4" i="9"/>
  <c r="D21" i="9" a="1"/>
  <c r="D21" i="9" s="1"/>
  <c r="D7" i="9" a="1"/>
  <c r="D7" i="9" s="1"/>
  <c r="A21" i="9" a="1"/>
  <c r="A21" i="9" s="1"/>
  <c r="A14" i="9" a="1"/>
  <c r="A14" i="9" s="1"/>
  <c r="A7" i="9" a="1"/>
  <c r="A7" i="9" s="1"/>
  <c r="N4" i="9"/>
  <c r="M4" i="9"/>
  <c r="L4" i="9"/>
  <c r="K4" i="9"/>
  <c r="A4" i="9"/>
  <c r="J4" i="9"/>
  <c r="H4" i="9"/>
  <c r="G4" i="9"/>
  <c r="F4" i="9"/>
  <c r="E4" i="9"/>
  <c r="D4" i="9"/>
  <c r="B4" i="9"/>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N23" i="7"/>
  <c r="N31" i="7"/>
  <c r="N41" i="7"/>
  <c r="N42" i="7"/>
  <c r="N43" i="7"/>
  <c r="N44" i="7"/>
  <c r="N45" i="7"/>
  <c r="N46" i="7"/>
  <c r="N47" i="7"/>
  <c r="N48" i="7"/>
  <c r="N49" i="7"/>
  <c r="N50" i="7"/>
  <c r="N51" i="7"/>
  <c r="N52" i="7"/>
  <c r="N53" i="7"/>
  <c r="N54" i="7"/>
  <c r="N55" i="7"/>
  <c r="N56" i="7"/>
  <c r="N57" i="7"/>
  <c r="N58" i="7"/>
  <c r="N59" i="7"/>
  <c r="N60" i="7"/>
  <c r="N76" i="7"/>
  <c r="N77" i="7"/>
  <c r="N78" i="7"/>
  <c r="N79" i="7"/>
  <c r="N82" i="7"/>
  <c r="N83" i="7"/>
  <c r="N85" i="7"/>
  <c r="N86" i="7"/>
  <c r="N87" i="7"/>
  <c r="N88" i="7"/>
  <c r="N89" i="7"/>
  <c r="N90" i="7"/>
  <c r="N91" i="7"/>
  <c r="N92" i="7"/>
  <c r="N93" i="7"/>
  <c r="N94" i="7"/>
  <c r="N95" i="7"/>
  <c r="N96" i="7"/>
  <c r="N97" i="7"/>
  <c r="N98" i="7"/>
  <c r="N99" i="7"/>
  <c r="N100" i="7"/>
  <c r="N101" i="7"/>
  <c r="N102" i="7"/>
  <c r="N104" i="7"/>
  <c r="N105" i="7"/>
  <c r="N106" i="7"/>
  <c r="N107" i="7"/>
  <c r="N108" i="7"/>
  <c r="N109" i="7"/>
  <c r="N110" i="7"/>
  <c r="N111" i="7"/>
  <c r="N113"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N2" i="7"/>
  <c r="L2" i="7" l="1"/>
  <c r="N81" i="7"/>
  <c r="N73" i="7"/>
  <c r="N69" i="7"/>
  <c r="N65" i="7"/>
  <c r="N61" i="7"/>
  <c r="N37" i="7"/>
  <c r="N33" i="7"/>
  <c r="N29" i="7"/>
  <c r="N25" i="7"/>
  <c r="N21" i="7"/>
  <c r="N17" i="7"/>
  <c r="N13" i="7"/>
  <c r="N9" i="7"/>
  <c r="N5" i="7"/>
  <c r="N112" i="7"/>
  <c r="N84" i="7"/>
  <c r="N80" i="7"/>
  <c r="N72" i="7"/>
  <c r="N68" i="7"/>
  <c r="N64" i="7"/>
  <c r="N40" i="7"/>
  <c r="N36" i="7"/>
  <c r="N32" i="7"/>
  <c r="N28" i="7"/>
  <c r="N24" i="7"/>
  <c r="N20" i="7"/>
  <c r="N16" i="7"/>
  <c r="N12" i="7"/>
  <c r="N8" i="7"/>
  <c r="N4" i="7"/>
  <c r="N103" i="7"/>
  <c r="N75" i="7"/>
  <c r="N71" i="7"/>
  <c r="N67" i="7"/>
  <c r="N63" i="7"/>
  <c r="N39" i="7"/>
  <c r="N35" i="7"/>
  <c r="N27" i="7"/>
  <c r="N19" i="7"/>
  <c r="N15" i="7"/>
  <c r="N11" i="7"/>
  <c r="N7" i="7"/>
  <c r="N3" i="7"/>
  <c r="N74" i="7"/>
  <c r="N70" i="7"/>
  <c r="N66" i="7"/>
  <c r="N62" i="7"/>
  <c r="N38" i="7"/>
  <c r="N34" i="7"/>
  <c r="N30" i="7"/>
  <c r="N26" i="7"/>
  <c r="N22" i="7"/>
  <c r="N18" i="7"/>
  <c r="N14" i="7"/>
  <c r="N10" i="7"/>
  <c r="N6"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L5" i="7" l="1"/>
  <c r="L9" i="7"/>
  <c r="L13" i="7"/>
  <c r="L17" i="7"/>
  <c r="L21" i="7"/>
  <c r="L25" i="7"/>
  <c r="L29" i="7"/>
  <c r="L33" i="7"/>
  <c r="L37" i="7"/>
  <c r="L41" i="7"/>
  <c r="L45" i="7"/>
  <c r="L49" i="7"/>
  <c r="L53" i="7"/>
  <c r="L57" i="7"/>
  <c r="L61" i="7"/>
  <c r="L65" i="7"/>
  <c r="L69" i="7"/>
  <c r="L73" i="7"/>
  <c r="L77" i="7"/>
  <c r="L81" i="7"/>
  <c r="L85" i="7"/>
  <c r="L89" i="7"/>
  <c r="L93" i="7"/>
  <c r="L97" i="7"/>
  <c r="L101" i="7"/>
  <c r="L105" i="7"/>
  <c r="L109" i="7"/>
  <c r="L113" i="7"/>
  <c r="L8" i="7"/>
  <c r="L16" i="7"/>
  <c r="L24" i="7"/>
  <c r="L32" i="7"/>
  <c r="L40" i="7"/>
  <c r="L52" i="7"/>
  <c r="L60" i="7"/>
  <c r="L68" i="7"/>
  <c r="L76" i="7"/>
  <c r="L84" i="7"/>
  <c r="L92" i="7"/>
  <c r="L100" i="7"/>
  <c r="L108" i="7"/>
  <c r="L112" i="7"/>
  <c r="L6" i="7"/>
  <c r="L10" i="7"/>
  <c r="L14" i="7"/>
  <c r="L18" i="7"/>
  <c r="L22" i="7"/>
  <c r="L26" i="7"/>
  <c r="L30" i="7"/>
  <c r="L34" i="7"/>
  <c r="L38" i="7"/>
  <c r="L42" i="7"/>
  <c r="L46" i="7"/>
  <c r="L50" i="7"/>
  <c r="L54" i="7"/>
  <c r="L58" i="7"/>
  <c r="L62" i="7"/>
  <c r="L66" i="7"/>
  <c r="L70" i="7"/>
  <c r="L74" i="7"/>
  <c r="L78" i="7"/>
  <c r="L82" i="7"/>
  <c r="L86" i="7"/>
  <c r="L90" i="7"/>
  <c r="L94" i="7"/>
  <c r="L98" i="7"/>
  <c r="L102" i="7"/>
  <c r="L106" i="7"/>
  <c r="L110" i="7"/>
  <c r="L4" i="7"/>
  <c r="L12" i="7"/>
  <c r="L20" i="7"/>
  <c r="L28" i="7"/>
  <c r="L36" i="7"/>
  <c r="L44" i="7"/>
  <c r="L48" i="7"/>
  <c r="L56" i="7"/>
  <c r="L64" i="7"/>
  <c r="L72" i="7"/>
  <c r="L80" i="7"/>
  <c r="L88" i="7"/>
  <c r="L96" i="7"/>
  <c r="L104" i="7"/>
  <c r="L3" i="7"/>
  <c r="L7" i="7"/>
  <c r="L11" i="7"/>
  <c r="L15" i="7"/>
  <c r="L19" i="7"/>
  <c r="L23" i="7"/>
  <c r="L27" i="7"/>
  <c r="L31" i="7"/>
  <c r="L35" i="7"/>
  <c r="L39" i="7"/>
  <c r="L43" i="7"/>
  <c r="L47" i="7"/>
  <c r="L51" i="7"/>
  <c r="L55" i="7"/>
  <c r="L59" i="7"/>
  <c r="L63" i="7"/>
  <c r="L67" i="7"/>
  <c r="L71" i="7"/>
  <c r="L75" i="7"/>
  <c r="L79" i="7"/>
  <c r="L83" i="7"/>
  <c r="L87" i="7"/>
  <c r="L91" i="7"/>
  <c r="L95" i="7"/>
  <c r="L99" i="7"/>
  <c r="L103" i="7"/>
  <c r="L107" i="7"/>
  <c r="L111" i="7"/>
  <c r="A33" i="9" a="1"/>
  <c r="A33"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CE25CD-FF7F-4754-9A44-DA5B482B44B1}" keepAlive="1" name="Query - Excel_jumia_dataset" description="Connection to the 'Excel_jumia_dataset' query in the workbook." type="5" refreshedVersion="8" background="1" saveData="1">
    <dbPr connection="Provider=Microsoft.Mashup.OleDb.1;Data Source=$Workbook$;Location=Excel_jumia_dataset;Extended Properties=&quot;&quot;" command="SELECT * FROM [Excel_jumia_dataset]"/>
  </connection>
  <connection id="2" xr16:uid="{7A87274A-81E4-49C7-888C-27C2D8F26E3A}" keepAlive="1" name="Query - Excel_jumia_dataset (2)" description="Connection to the 'Excel_jumia_dataset (2)' query in the workbook." type="5" refreshedVersion="8" background="1" saveData="1">
    <dbPr connection="Provider=Microsoft.Mashup.OleDb.1;Data Source=$Workbook$;Location=&quot;Excel_jumia_dataset (2)&quot;;Extended Properties=&quot;&quot;" command="SELECT * FROM [Excel_jumia_dataset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<sst xmlns="http://schemas.openxmlformats.org/spreadsheetml/2006/main" count="838" uniqueCount="418">
  <si>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</si>
  <si>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</si>
  <si>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</si>
  <si>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</si>
  <si>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</si>
  <si>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</si>
  <si>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</si>
  <si>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</si>
  <si>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</si>
  <si>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</si>
  <si>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</si>
  <si>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</si>
  <si>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</si>
  <si>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</si>
  <si>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</si>
  <si>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</si>
  <si>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</si>
  <si>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</si>
  <si>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</si>
  <si>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</si>
  <si>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</si>
  <si>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</si>
  <si>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</si>
  <si>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</si>
  <si>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</si>
  <si>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</si>
  <si>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</si>
  <si>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</si>
  <si>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</si>
  <si>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</si>
  <si>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</si>
  <si>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</si>
  <si>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</si>
  <si>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</si>
  <si>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</si>
  <si>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</si>
  <si>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</si>
  <si>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</si>
  <si>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</si>
  <si>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</si>
  <si>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</si>
  <si>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</si>
  <si>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</si>
  <si>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</si>
  <si>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</si>
  <si>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</si>
  <si>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</si>
  <si>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</si>
  <si>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</si>
  <si>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</si>
  <si>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</si>
  <si>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</si>
  <si>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</si>
  <si>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</si>
  <si>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</si>
  <si>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</si>
  <si>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</si>
  <si>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</si>
  <si>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</si>
  <si>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</si>
  <si>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</si>
  <si>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</si>
  <si>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</si>
  <si>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</si>
  <si>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</si>
  <si>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</si>
  <si>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</si>
  <si>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</si>
  <si>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</si>
  <si>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</si>
  <si>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</si>
  <si>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</si>
  <si>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</si>
  <si>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</si>
  <si>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</si>
  <si>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</si>
  <si>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</si>
  <si>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</si>
  <si>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</si>
  <si>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</si>
  <si>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</si>
  <si>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</si>
  <si>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</si>
  <si>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</si>
  <si>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</si>
  <si>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</si>
  <si>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</si>
  <si>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</si>
  <si>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</si>
  <si>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</si>
  <si>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</si>
  <si>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</si>
  <si>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</si>
  <si>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</si>
  <si>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</si>
  <si>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</si>
  <si>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</si>
  <si>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</si>
  <si>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</si>
  <si>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</si>
  <si>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</si>
  <si>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</si>
  <si>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</si>
  <si>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</si>
  <si>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</si>
  <si>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</si>
  <si>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</si>
  <si>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</si>
  <si>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</si>
  <si>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</si>
  <si>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</si>
  <si>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</si>
  <si>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</si>
  <si>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</si>
  <si>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</si>
  <si>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</si>
  <si>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</si>
  <si>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</si>
  <si>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</si>
  <si>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</si>
  <si>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</si>
  <si>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</si>
  <si>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</si>
  <si>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</si>
  <si>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</si>
  <si>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</si>
  <si>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</si>
  <si>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</si>
  <si>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</si>
  <si>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</si>
  <si>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</si>
  <si>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</si>
  <si>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</si>
  <si>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</si>
  <si>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</si>
  <si>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</si>
  <si>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</si>
  <si>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</si>
  <si>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</si>
  <si>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</si>
  <si>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</si>
  <si>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</si>
  <si>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</si>
  <si>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</si>
  <si>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</si>
  <si>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</si>
  <si>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</si>
  <si>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</si>
  <si>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</si>
  <si>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</si>
  <si>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</si>
  <si>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</si>
  <si>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</si>
  <si>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</si>
  <si>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</si>
  <si>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</si>
  <si>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</si>
  <si>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</si>
  <si>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</si>
  <si>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</si>
  <si>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</si>
  <si>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</si>
  <si>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</si>
  <si>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</si>
  <si>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</si>
  <si>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</si>
  <si>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</si>
  <si>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</si>
  <si>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</si>
  <si>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</si>
  <si>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</si>
  <si>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</si>
  <si>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</si>
  <si>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</si>
  <si>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</si>
  <si>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</si>
  <si>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</si>
  <si>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</si>
  <si>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</si>
  <si>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</si>
  <si>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</si>
  <si>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</si>
  <si>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</si>
  <si>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</si>
  <si>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</si>
  <si>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</si>
  <si>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</si>
  <si>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</si>
  <si>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</si>
  <si>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</si>
  <si>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</si>
  <si>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</si>
  <si>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</si>
  <si>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</si>
  <si>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</si>
  <si>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</si>
  <si>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</si>
  <si>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</si>
  <si>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</si>
  <si>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</si>
  <si>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</si>
  <si>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</si>
  <si>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</si>
  <si>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</si>
  <si>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</si>
  <si>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</si>
  <si>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</si>
  <si>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</si>
  <si>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</si>
  <si>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</si>
  <si>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</si>
  <si>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</si>
  <si>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</si>
  <si>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</si>
  <si>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</si>
  <si>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</si>
  <si>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</si>
  <si>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</si>
  <si>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</si>
  <si>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</si>
  <si>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</si>
  <si>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</si>
  <si>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</si>
  <si>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</si>
  <si>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</si>
  <si>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</si>
  <si>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</si>
  <si>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</si>
  <si>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</si>
  <si>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</si>
  <si>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</si>
  <si>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</si>
  <si>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</si>
  <si>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</si>
  <si>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</si>
  <si>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</si>
  <si>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</si>
  <si>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</si>
  <si>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</si>
  <si>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</si>
  <si>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</si>
  <si>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</si>
  <si>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</si>
  <si>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</si>
  <si>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</si>
  <si>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</si>
  <si>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</si>
  <si>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</si>
  <si>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</si>
  <si>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</si>
  <si>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</si>
  <si>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</si>
  <si>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</si>
  <si>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</si>
  <si>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</si>
  <si>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</si>
  <si>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</si>
  <si>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</si>
  <si>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</si>
  <si>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</si>
  <si>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</si>
  <si>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</si>
  <si>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</si>
  <si>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</si>
  <si>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</si>
  <si>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</si>
  <si>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</si>
  <si>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</si>
  <si>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</si>
  <si>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</si>
  <si>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</si>
  <si>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</si>
  <si>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</si>
  <si>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</si>
  <si>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</si>
  <si>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</si>
  <si>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</si>
  <si>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</si>
  <si>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</si>
  <si>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</si>
  <si>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</si>
  <si>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</si>
  <si>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</si>
  <si>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</si>
  <si>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</si>
  <si>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</si>
  <si>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</si>
  <si>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</si>
  <si>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</si>
  <si>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</si>
  <si>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</si>
  <si>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</si>
  <si>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</si>
  <si>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</si>
  <si>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</si>
  <si>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</si>
  <si>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</si>
  <si>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</si>
  <si>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</si>
  <si>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</si>
  <si>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</si>
  <si>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</si>
  <si>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</si>
  <si>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</si>
  <si>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</si>
  <si>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</si>
  <si>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</si>
  <si>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</si>
  <si>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</si>
  <si>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</si>
  <si>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</si>
  <si>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</si>
  <si>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</si>
  <si>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</si>
  <si>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</si>
  <si>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</si>
  <si>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</si>
  <si>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</si>
  <si>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</si>
  <si>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</si>
  <si>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</si>
  <si>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</si>
  <si>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</si>
  <si>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</si>
  <si>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Data Quality Audit</t>
  </si>
  <si>
    <t>Source Row Count</t>
  </si>
  <si>
    <t>Source Column Count</t>
  </si>
  <si>
    <t>Duplicate Count</t>
  </si>
  <si>
    <t>Field used to identify duplicates</t>
  </si>
  <si>
    <t>Non-numeric prices</t>
  </si>
  <si>
    <t>Non-numeric reviews</t>
  </si>
  <si>
    <t>Non-numeric discounts</t>
  </si>
  <si>
    <t>Non-numeric ratings</t>
  </si>
  <si>
    <t>Ratings outside 0-5</t>
  </si>
  <si>
    <t>Discounts outside 0% - 100%</t>
  </si>
  <si>
    <t>Negative review counts</t>
  </si>
  <si>
    <t>Current prices greater than old prices</t>
  </si>
  <si>
    <t>Prices ranges/Ambiguous values</t>
  </si>
  <si>
    <t>Count</t>
  </si>
  <si>
    <t>Audit Metric</t>
  </si>
  <si>
    <t>Issue</t>
  </si>
  <si>
    <t>Rows affected</t>
  </si>
  <si>
    <t>Decision</t>
  </si>
  <si>
    <t>Reason</t>
  </si>
  <si>
    <t>Duplicate values on Product</t>
  </si>
  <si>
    <t>Incosistent case on column titles</t>
  </si>
  <si>
    <t>Used title case on all column names</t>
  </si>
  <si>
    <t>Ensured that the column names are standard.</t>
  </si>
  <si>
    <t>Rating</t>
  </si>
  <si>
    <t>Whitespaces and unwanted characters</t>
  </si>
  <si>
    <t>Product column</t>
  </si>
  <si>
    <t>Used the Trim and Clean functions</t>
  </si>
  <si>
    <t>Ensure that we have properly punctuated product names with no whitespaces.</t>
  </si>
  <si>
    <t>Old Price</t>
  </si>
  <si>
    <t>Removed duplicate values. Also, checked duplicates with regards to other columns such as the old and new prices</t>
  </si>
  <si>
    <t>We might be having actual duplicates but different information in other columns may suggest that these products are actually different.</t>
  </si>
  <si>
    <t>Old and New Prices having no specific format</t>
  </si>
  <si>
    <t>Ensure consistency on both columns when we may want to do calculations with them.</t>
  </si>
  <si>
    <t>Discount column having decimal points that have no specific format.</t>
  </si>
  <si>
    <t>No</t>
  </si>
  <si>
    <r>
      <t>Removed the '</t>
    </r>
    <r>
      <rPr>
        <b/>
        <sz val="11"/>
        <color theme="1"/>
        <rFont val="Aptos Narrow"/>
        <family val="2"/>
        <scheme val="minor"/>
      </rPr>
      <t>Ksh</t>
    </r>
    <r>
      <rPr>
        <sz val="11"/>
        <color theme="1"/>
        <rFont val="Aptos Narrow"/>
        <family val="2"/>
        <scheme val="minor"/>
      </rPr>
      <t>' suffix, and formatted the Old and New Price columns to be of number data type</t>
    </r>
  </si>
  <si>
    <r>
      <t xml:space="preserve">Formatted the discount column to have its values in </t>
    </r>
    <r>
      <rPr>
        <b/>
        <sz val="11"/>
        <color theme="1"/>
        <rFont val="Aptos Narrow"/>
        <family val="2"/>
        <scheme val="minor"/>
      </rPr>
      <t xml:space="preserve">percentage </t>
    </r>
    <r>
      <rPr>
        <sz val="11"/>
        <color theme="1"/>
        <rFont val="Aptos Narrow"/>
        <family val="2"/>
        <scheme val="minor"/>
      </rPr>
      <t>data type.</t>
    </r>
  </si>
  <si>
    <t>Provide consistency and ability to calculate and better analyse our data.</t>
  </si>
  <si>
    <t>Review column having its values as negative</t>
  </si>
  <si>
    <r>
      <t>57 rows. (Used the function "</t>
    </r>
    <r>
      <rPr>
        <b/>
        <sz val="11"/>
        <color theme="1"/>
        <rFont val="Aptos Narrow"/>
        <family val="2"/>
        <scheme val="minor"/>
      </rPr>
      <t>=COUNTA(E2:E113)</t>
    </r>
    <r>
      <rPr>
        <sz val="11"/>
        <color theme="1"/>
        <rFont val="Aptos Narrow"/>
        <family val="2"/>
        <scheme val="minor"/>
      </rPr>
      <t>" to get the number of columns that do not have empty space.</t>
    </r>
  </si>
  <si>
    <t>Changed the cells with absolute values of the present values using the absolute function.</t>
  </si>
  <si>
    <t>Spelling error on the Rating title (Ratingd)</t>
  </si>
  <si>
    <t>Renamed Ratingd to Rating</t>
  </si>
  <si>
    <t>Ensure correctness of column titles</t>
  </si>
  <si>
    <r>
      <t>Ratings not calculatable with the "</t>
    </r>
    <r>
      <rPr>
        <b/>
        <sz val="11"/>
        <color theme="1"/>
        <rFont val="Aptos Narrow"/>
        <family val="2"/>
        <scheme val="minor"/>
      </rPr>
      <t>out of 5</t>
    </r>
    <r>
      <rPr>
        <sz val="11"/>
        <color theme="1"/>
        <rFont val="Aptos Narrow"/>
        <family val="2"/>
        <scheme val="minor"/>
      </rPr>
      <t>"</t>
    </r>
  </si>
  <si>
    <r>
      <t>Removed the "</t>
    </r>
    <r>
      <rPr>
        <b/>
        <sz val="11"/>
        <color theme="1"/>
        <rFont val="Aptos Narrow"/>
        <family val="2"/>
        <scheme val="minor"/>
      </rPr>
      <t>Out of 5</t>
    </r>
    <r>
      <rPr>
        <sz val="11"/>
        <color theme="1"/>
        <rFont val="Aptos Narrow"/>
        <family val="2"/>
        <scheme val="minor"/>
      </rPr>
      <t>" text</t>
    </r>
  </si>
  <si>
    <t>Remain with values that can be calculated</t>
  </si>
  <si>
    <t>Discount Amount</t>
  </si>
  <si>
    <t>Rating Category</t>
  </si>
  <si>
    <t>Discount Category</t>
  </si>
  <si>
    <t>Price Category</t>
  </si>
  <si>
    <t>Current Price</t>
  </si>
  <si>
    <t>Rating Status</t>
  </si>
  <si>
    <t>Discount Status</t>
  </si>
  <si>
    <t>Price Check</t>
  </si>
  <si>
    <t>Average Current Price</t>
  </si>
  <si>
    <t>Average Old Price</t>
  </si>
  <si>
    <t>Average Discount Percentage</t>
  </si>
  <si>
    <t>Average Product Rating</t>
  </si>
  <si>
    <t>Total Number of Products</t>
  </si>
  <si>
    <t>Total Number of Reviews</t>
  </si>
  <si>
    <t>Most Expensive Product</t>
  </si>
  <si>
    <t>Least Expensive Product</t>
  </si>
  <si>
    <t>Grand Total</t>
  </si>
  <si>
    <t>Correlation Between Discount and Reviews</t>
  </si>
  <si>
    <t>Correlation Between Rating and Reviews</t>
  </si>
  <si>
    <t>Correlation Between Current Price and Rating</t>
  </si>
  <si>
    <t>Bottom 5 Products By Rating</t>
  </si>
  <si>
    <t>Top 5 Products By Rating</t>
  </si>
  <si>
    <t>Top 10 Products with the highest discounts</t>
  </si>
  <si>
    <t>Top 10 Products With Highest Number of Reviews</t>
  </si>
  <si>
    <t>Highest Rated Products</t>
  </si>
  <si>
    <t>Row Labels</t>
  </si>
  <si>
    <t>Products With High Discounts but Low Ratings</t>
  </si>
  <si>
    <t>Customer Engagement</t>
  </si>
  <si>
    <t>Products With Strong Customer Engagement</t>
  </si>
  <si>
    <t>High Discount</t>
  </si>
  <si>
    <t>Low Discount</t>
  </si>
  <si>
    <t>Medium Discount</t>
  </si>
  <si>
    <t>Price_Q1</t>
  </si>
  <si>
    <t>Price_Q3</t>
  </si>
  <si>
    <t>Review Count at or Above 75th percentile</t>
  </si>
  <si>
    <t>Average</t>
  </si>
  <si>
    <t>Excellent</t>
  </si>
  <si>
    <t>Poor</t>
  </si>
  <si>
    <t>Count of Product</t>
  </si>
  <si>
    <t>High Price</t>
  </si>
  <si>
    <t>Low Price</t>
  </si>
  <si>
    <t>Medium Price</t>
  </si>
  <si>
    <t>Average of Rating</t>
  </si>
  <si>
    <t>Sum of Review</t>
  </si>
  <si>
    <t>Average of Discount</t>
  </si>
  <si>
    <t>Review counts cannot logically be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</si>
</sst>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Ksh&quot;#,##0.00"/>
  </numFmts>
  <fonts count="5" x14ac:knownFonts="1">
    <font>
      <sz val="11"/>
      <color theme="1"/>
      <name val="Aptos Narrow"/>
      <family val="2"/>
      <scheme val="minor"/>
    </font>
    <font>
      <b/>
      <sz val="12"/>
      <color theme="1"/>
      <name val="Aptos Narrow"/>
      <family val="2"/>
      <scheme val="minor"/>
    </font>
    <font>
      <sz val="11"/>
      <color rgb="FFFF0000"/>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horizontal="left"/>
    </xf>
    <xf numFmtId="0" fontId="1" fillId="0" borderId="0" xfId="0" applyFont="1"/>
    <xf numFmtId="0" fontId="0" fillId="0" borderId="0" xfId="0" applyAlignment="1">
      <alignment wrapText="1"/>
    </xf>
    <xf numFmtId="10" fontId="0" fillId="0" borderId="0" xfId="0" applyNumberFormat="1" applyAlignment="1">
      <alignment horizontal="left"/>
    </xf>
    <xf numFmtId="2" fontId="0" fillId="0" borderId="0" xfId="0" applyNumberFormat="1"/>
    <xf numFmtId="2" fontId="0" fillId="0" borderId="0" xfId="0" applyNumberFormat="1" applyAlignment="1">
      <alignment horizontal="left"/>
    </xf>
    <xf numFmtId="0" fontId="2" fillId="2" borderId="0" xfId="0" applyFont="1" applyFill="1"/>
    <xf numFmtId="0" fontId="0" fillId="0" borderId="0" xfId="0" applyAlignment="1">
      <alignment horizontal="left" vertical="top"/>
    </xf>
    <xf numFmtId="0" fontId="0" fillId="0" borderId="0" xfId="0" applyAlignment="1">
      <alignment horizontal="left" vertical="top" wrapText="1"/>
    </xf>
    <xf numFmtId="0" fontId="0" fillId="0" borderId="0" xfId="0" pivotButton="1"/>
    <xf numFmtId="2" fontId="1" fillId="0" borderId="0" xfId="0" applyNumberFormat="1" applyFont="1" applyAlignment="1">
      <alignment horizontal="left"/>
    </xf>
    <xf numFmtId="1" fontId="0" fillId="0" borderId="0" xfId="0" applyNumberFormat="1" applyAlignment="1">
      <alignment horizontal="left"/>
    </xf>
    <xf numFmtId="0" fontId="0" fillId="0" borderId="0" xfId="0" applyAlignment="1">
      <alignment vertical="top" wrapText="1"/>
    </xf>
    <xf numFmtId="10" fontId="0" fillId="0" borderId="0" xfId="0" applyNumberFormat="1"/>
    <xf numFmtId="164"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wrapText="1"/>
    </xf>
    <xf numFmtId="0" fontId="0" fillId="0" borderId="0" xfId="0" applyAlignment="1">
      <alignment vertical="top"/>
    </xf>
    <xf numFmtId="0" fontId="0" fillId="0" borderId="0" xfId="0" applyAlignment="1">
      <alignment horizontal="center"/>
    </xf>
  </cellXfs>
  <cellStyles count="1">
    <cellStyle name="Normal" xfId="0" builtinId="0"/>
  </cellStyles>
  <dxfs count="32">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2"/>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2" formatCode="0.0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164" formatCode="0.0"/>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4" formatCode="0.00%"/>
      <alignment horizontal="left" vertical="bottom" textRotation="0" wrapText="0" indent="0" justifyLastLine="0" shrinkToFit="0" readingOrder="0"/>
    </dxf>
    <dxf>
      <numFmt numFmtId="14"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[jumia_product_dashboard.xlsx]Rating_Mix!PivotTable1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a:t>
            </a:r>
            <a:r>
              <a:rPr lang="en-US" baseline="0"/>
              <a:t> Mix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Rating_Mix!$B$3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C1-47C7-88D6-5E8AF565EF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C1-47C7-88D6-5E8AF565EF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C1-47C7-88D6-5E8AF565EF82}"/>
              </c:ext>
            </c:extLst>
          </c:dPt>
          <c:cat>
            <c:strRef>
              <c:f>Rating_Mix!$A$4:$A$7</c:f>
              <c:strCache>
                <c:ptCount val="3"/>
                <c:pt idx="0">
                  <c:v>Average</c:v>
                </c:pt>
                <c:pt idx="1">
                  <c:v>Excellent</c:v>
                </c:pt>
                <c:pt idx="2">
                  <c:v>Poor</c:v>
                </c:pt>
              </c:strCache>
            </c:strRef>
          </c:cat>
          <c:val>
            <c:numRef>
              <c:f>Rating_Mix!$B$4:$B$7</c:f>
              <c:numCache>
                <c:formatCode>General</c:formatCode>
                <c:ptCount val="3"/>
                <c:pt idx="0">
                  <c:v>13</c:v>
                </c:pt>
                <c:pt idx="1">
                  <c:v>23</c:v>
                </c:pt>
                <c:pt idx="2">
                  <c:v>12</c:v>
                </c:pt>
              </c:numCache>
            </c:numRef>
          </c:val>
          <c:extLst>
            <c:ext xmlns:c16="http://schemas.microsoft.com/office/drawing/2014/chart" uri="{C3380CC4-5D6E-409C-BE32-E72D297353CC}">
              <c16:uniqueId val="{00000000-5925-4307-83C4-5ECACD4200E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[jumia_product_dashboard.xlsx]Discount_Mix!PivotTable2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Discount_Mix!$B$3</c:f>
              <c:strCache>
                <c:ptCount val="1"/>
                <c:pt idx="0">
                  <c:v>Total</c:v>
                </c:pt>
              </c:strCache>
            </c:strRef>
          </c:tx>
          <c:spPr>
            <a:solidFill>
              <a:schemeClr val="accent1"/>
            </a:solidFill>
            <a:ln>
              <a:noFill/>
            </a:ln>
            <a:effectLst/>
          </c:spPr>
          <c:invertIfNegative val="0"/>
          <c:cat>
            <c:strRef>
              <c:f>Discount_Mix!$A$4:$A$7</c:f>
              <c:strCache>
                <c:ptCount val="3"/>
                <c:pt idx="0">
                  <c:v>High Discount</c:v>
                </c:pt>
                <c:pt idx="1">
                  <c:v>Low Discount</c:v>
                </c:pt>
                <c:pt idx="2">
                  <c:v>Medium Discount</c:v>
                </c:pt>
              </c:strCache>
            </c:strRef>
          </c:cat>
          <c:val>
            <c:numRef>
              <c:f>Discount_Mix!$B$4:$B$7</c:f>
              <c:numCache>
                <c:formatCode>General</c:formatCode>
                <c:ptCount val="3"/>
                <c:pt idx="0">
                  <c:v>25</c:v>
                </c:pt>
                <c:pt idx="1">
                  <c:v>4</c:v>
                </c:pt>
                <c:pt idx="2">
                  <c:v>19</c:v>
                </c:pt>
              </c:numCache>
            </c:numRef>
          </c:val>
          <c:extLst>
            <c:ext xmlns:c16="http://schemas.microsoft.com/office/drawing/2014/chart" uri="{C3380CC4-5D6E-409C-BE32-E72D297353CC}">
              <c16:uniqueId val="{00000000-6158-4DCE-AE9A-D01A3D76023C}"/>
            </c:ext>
          </c:extLst>
        </c:ser>
        <c:dLbls>
          <c:showLegendKey val="0"/>
          <c:showVal val="0"/>
          <c:showCatName val="0"/>
          <c:showSerName val="0"/>
          <c:showPercent val="0"/>
          <c:showBubbleSize val="0"/>
        </c:dLbls>
        <c:gapWidth val="219"/>
        <c:overlap val="-27"/>
        <c:axId val="2094784527"/>
        <c:axId val="1224620719"/>
      </c:barChart>
      <c:catAx>
        <c:axId val="209478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24620719"/>
        <c:crosses val="autoZero"/>
        <c:auto val="1"/>
        <c:lblAlgn val="ctr"/>
        <c:lblOffset val="100"/>
        <c:noMultiLvlLbl val="0"/>
      </c:catAx>
      <c:valAx>
        <c:axId val="122462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9478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[jumia_product_dashboard.xlsx]Price_vs_Rating!PivotTable3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vs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Price_vs_Rating!$B$3</c:f>
              <c:strCache>
                <c:ptCount val="1"/>
                <c:pt idx="0">
                  <c:v>Total</c:v>
                </c:pt>
              </c:strCache>
            </c:strRef>
          </c:tx>
          <c:spPr>
            <a:solidFill>
              <a:schemeClr val="accent1"/>
            </a:solidFill>
            <a:ln>
              <a:noFill/>
            </a:ln>
            <a:effectLst/>
          </c:spPr>
          <c:invertIfNegative val="0"/>
          <c:cat>
            <c:strRef>
              <c:f>Price_vs_Rating!$A$4:$A$7</c:f>
              <c:strCache>
                <c:ptCount val="3"/>
                <c:pt idx="0">
                  <c:v>High Price</c:v>
                </c:pt>
                <c:pt idx="1">
                  <c:v>Low Price</c:v>
                </c:pt>
                <c:pt idx="2">
                  <c:v>Medium Price</c:v>
                </c:pt>
              </c:strCache>
            </c:strRef>
          </c:cat>
          <c:val>
            <c:numRef>
              <c:f>Price_vs_Rating!$B$4:$B$7</c:f>
              <c:numCache>
                <c:formatCode>General</c:formatCode>
                <c:ptCount val="3"/>
                <c:pt idx="0">
                  <c:v>4.0466666666666669</c:v>
                </c:pt>
                <c:pt idx="1">
                  <c:v>3.5249999999999999</c:v>
                </c:pt>
                <c:pt idx="2">
                  <c:v>3.8380952380952387</c:v>
                </c:pt>
              </c:numCache>
            </c:numRef>
          </c:val>
          <c:extLst>
            <c:ext xmlns:c16="http://schemas.microsoft.com/office/drawing/2014/chart" uri="{C3380CC4-5D6E-409C-BE32-E72D297353CC}">
              <c16:uniqueId val="{00000000-E226-4DBC-8894-ADCD12DF54DE}"/>
            </c:ext>
          </c:extLst>
        </c:ser>
        <c:dLbls>
          <c:showLegendKey val="0"/>
          <c:showVal val="0"/>
          <c:showCatName val="0"/>
          <c:showSerName val="0"/>
          <c:showPercent val="0"/>
          <c:showBubbleSize val="0"/>
        </c:dLbls>
        <c:gapWidth val="219"/>
        <c:overlap val="-27"/>
        <c:axId val="2094766431"/>
        <c:axId val="1224624079"/>
      </c:barChart>
      <c:catAx>
        <c:axId val="209476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24624079"/>
        <c:crosses val="autoZero"/>
        <c:auto val="1"/>
        <c:lblAlgn val="ctr"/>
        <c:lblOffset val="100"/>
        <c:noMultiLvlLbl val="0"/>
      </c:catAx>
      <c:valAx>
        <c:axId val="122462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9476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[jumia_product_dashboard.xlsx]Engagement_by_Discount!PivotTable4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by</a:t>
            </a:r>
            <a:r>
              <a:rPr lang="en-US" baseline="0"/>
              <a:t>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Engagement_by_Discount!$B$3</c:f>
              <c:strCache>
                <c:ptCount val="1"/>
                <c:pt idx="0">
                  <c:v>Total</c:v>
                </c:pt>
              </c:strCache>
            </c:strRef>
          </c:tx>
          <c:spPr>
            <a:solidFill>
              <a:schemeClr val="accent1"/>
            </a:solidFill>
            <a:ln>
              <a:noFill/>
            </a:ln>
            <a:effectLst/>
          </c:spPr>
          <c:invertIfNegative val="0"/>
          <c:cat>
            <c:strRef>
              <c:f>Engagement_by_Discount!$A$4:$A$7</c:f>
              <c:strCache>
                <c:ptCount val="3"/>
                <c:pt idx="0">
                  <c:v>High Discount</c:v>
                </c:pt>
                <c:pt idx="1">
                  <c:v>Low Discount</c:v>
                </c:pt>
                <c:pt idx="2">
                  <c:v>Medium Discount</c:v>
                </c:pt>
              </c:strCache>
            </c:strRef>
          </c:cat>
          <c:val>
            <c:numRef>
              <c:f>Engagement_by_Discount!$B$4:$B$7</c:f>
              <c:numCache>
                <c:formatCode>General</c:formatCode>
                <c:ptCount val="3"/>
                <c:pt idx="0">
                  <c:v>259</c:v>
                </c:pt>
                <c:pt idx="1">
                  <c:v>38</c:v>
                </c:pt>
                <c:pt idx="2">
                  <c:v>296</c:v>
                </c:pt>
              </c:numCache>
            </c:numRef>
          </c:val>
          <c:extLst>
            <c:ext xmlns:c16="http://schemas.microsoft.com/office/drawing/2014/chart" uri="{C3380CC4-5D6E-409C-BE32-E72D297353CC}">
              <c16:uniqueId val="{00000000-A651-45AE-9B68-3C1EA2618CA7}"/>
            </c:ext>
          </c:extLst>
        </c:ser>
        <c:dLbls>
          <c:showLegendKey val="0"/>
          <c:showVal val="0"/>
          <c:showCatName val="0"/>
          <c:showSerName val="0"/>
          <c:showPercent val="0"/>
          <c:showBubbleSize val="0"/>
        </c:dLbls>
        <c:gapWidth val="182"/>
        <c:axId val="1308591263"/>
        <c:axId val="1224645199"/>
      </c:barChart>
      <c:catAx>
        <c:axId val="130859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24645199"/>
        <c:crosses val="autoZero"/>
        <c:auto val="1"/>
        <c:lblAlgn val="ctr"/>
        <c:lblOffset val="100"/>
        <c:noMultiLvlLbl val="0"/>
      </c:catAx>
      <c:valAx>
        <c:axId val="1224645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085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[jumia_product_dashboard.xlsx]Top_Products_By_Rating!PivotTable5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Products by</a:t>
            </a:r>
            <a:r>
              <a:rPr lang="en-US" baseline="0"/>
              <a:t> Rating</a:t>
            </a:r>
            <a:endParaRPr lang="en-US"/>
          </a:p>
        </c:rich>
      </c:tx>
      <c:layout>
        <c:manualLayout>
          <c:xMode val="edge"/>
          <c:yMode val="edge"/>
          <c:x val="0.31363079615048117"/>
          <c:y val="0.114766976415982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Top_Products_By_Rating!$B$3</c:f>
              <c:strCache>
                <c:ptCount val="1"/>
                <c:pt idx="0">
                  <c:v>Total</c:v>
                </c:pt>
              </c:strCache>
            </c:strRef>
          </c:tx>
          <c:spPr>
            <a:solidFill>
              <a:schemeClr val="accent1"/>
            </a:solidFill>
            <a:ln>
              <a:noFill/>
            </a:ln>
            <a:effectLst/>
          </c:spPr>
          <c:invertIfNegative val="0"/>
          <c:cat>
            <c:strRef>
              <c:f>Top_Products_By_Rating!$A$4:$A$52</c:f>
              <c:strCache>
                <c:ptCount val="48"/>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13 In 1 Home Repair Tools Box Kit Set</c:v>
                </c:pt>
                <c:pt idx="7">
                  <c:v>137 Pieces Cake Decorating Tool Set Baking Supplies</c:v>
                </c:pt>
                <c:pt idx="8">
                  <c:v>220V 60W Electric Soldering Iron Kits With Tools, Tips, And Multimeter</c:v>
                </c:pt>
                <c:pt idx="9">
                  <c:v>32PCS Portable Cordless Drill Set With Cyclic Battery Drive -26 Variable Speed</c:v>
                </c:pt>
                <c:pt idx="10">
                  <c:v>380ML USB Rechargeable Portable Small Blenders And Juicers</c:v>
                </c:pt>
                <c:pt idx="11">
                  <c:v>3D Waterproof EVA Plastic Shower Curtain 1.8*2Mtrs</c:v>
                </c:pt>
                <c:pt idx="12">
                  <c:v>3PCS Single Head Knitting Crochet Sweater Needle Set</c:v>
                </c:pt>
                <c:pt idx="13">
                  <c:v>40cm Gold DIY Acrylic Wall Sticker Clock</c:v>
                </c:pt>
                <c:pt idx="14">
                  <c:v>5 Pieces/set Of Stainless Steel Induction Cooker Pots</c:v>
                </c:pt>
                <c:pt idx="15">
                  <c:v>53 Pieces/Set Yarn Knitting Crochet Hooks With Bag - Pansies</c:v>
                </c:pt>
                <c:pt idx="16">
                  <c:v>53Pcs/Set Yarn Knitting Crochet Hooks With Bag - Fortune Cat</c:v>
                </c:pt>
                <c:pt idx="17">
                  <c:v>5-PCS Stainless Steel Cooking Pot Set With Steamed Slices</c:v>
                </c:pt>
                <c:pt idx="18">
                  <c:v>7-piece Set Of Storage Bags, Travel Storage Bags, Shoe Bags</c:v>
                </c:pt>
                <c:pt idx="19">
                  <c:v>Agapeon Toothbrush Holder And Toothpaste Dispenser</c:v>
                </c:pt>
                <c:pt idx="20">
                  <c:v>Anti-Skid Absorbent Insulation Coaster  For Home Office</c:v>
                </c:pt>
                <c:pt idx="21">
                  <c:v>Artificial Potted Flowers Room Decorative Flowers (2 Pieces)</c:v>
                </c:pt>
                <c:pt idx="22">
                  <c:v>Bedroom Simple Floor Hanging Clothes Rack Single Pole Hat Rack - White</c:v>
                </c:pt>
                <c:pt idx="23">
                  <c:v>Classic Black Cat Cotton Hemp Pillow Case For Home Car</c:v>
                </c:pt>
                <c:pt idx="24">
                  <c:v>Desk Foldable Fan Adjustable Fan Strong Wind 3 Gear Usb</c:v>
                </c:pt>
                <c:pt idx="25">
                  <c:v>DIY File Folder, Office Drawer File Holder, Pen Holder, Desktop Storage Rack</c:v>
                </c:pt>
                <c:pt idx="26">
                  <c:v>Electric LED UV Mosquito Killer Lamp, Outdoor/Indoor Fly Killer Trap Light -USB</c:v>
                </c:pt>
                <c:pt idx="27">
                  <c:v>Electronic Digital Display Vernier Caliper</c:v>
                </c:pt>
                <c:pt idx="28">
                  <c:v>Household Pineapple Peeler Peeler</c:v>
                </c:pt>
                <c:pt idx="29">
                  <c:v>Intelligent  LED Body Sensor Wireless Lighting Night Light USB</c:v>
                </c:pt>
                <c:pt idx="30">
                  <c:v>Konka Healty Electric Kettle, 24-hour Heat Preservation,1.5L,800W, White</c:v>
                </c:pt>
                <c:pt idx="31">
                  <c:v>Large Lazy Inflatable Sofa Chairs PVC Lounger Seat Bag</c:v>
                </c:pt>
                <c:pt idx="32">
                  <c:v>LASA Aluminum Folding Truck Hand Cart - 68kg Max</c:v>
                </c:pt>
                <c:pt idx="33">
                  <c:v>LASA Digital Thermometer And Hydrometer</c:v>
                </c:pt>
                <c:pt idx="34">
                  <c:v>LASA FOLDING TABLE SERVING STAND</c:v>
                </c:pt>
                <c:pt idx="35">
                  <c:v>LED Romantic Spaceship Starry Sky Projector,Children's Bedroom Night Light-Blue</c:v>
                </c:pt>
                <c:pt idx="36">
                  <c:v>LED Wall Digital Alarm Clock Study Home 12 / 24H Clock Calendar</c:v>
                </c:pt>
                <c:pt idx="37">
                  <c:v>Memory Foam Neck Pillow Cover, With Pillow Core - 50*30cm</c:v>
                </c:pt>
                <c:pt idx="38">
                  <c:v>Mythco 120COB Solar Wall Ligt With Motion Sensor And Remote Control 3 Modes</c:v>
                </c:pt>
                <c:pt idx="39">
                  <c:v>Peacock  Throw Pillow Cushion Case For Home Car</c:v>
                </c:pt>
                <c:pt idx="40">
                  <c:v>Portable Home Small Air Humidifier 3-Speed Fan - Green</c:v>
                </c:pt>
                <c:pt idx="41">
                  <c:v>Portable Mini Cordless Car Vacuum Cleaner - Blue</c:v>
                </c:pt>
                <c:pt idx="42">
                  <c:v>Portable Wardrobe Nonwoven With 3 Hanging Rods And 6 Storage Shelves</c:v>
                </c:pt>
                <c:pt idx="43">
                  <c:v>VIC Wireless Vacuum Cleaner Dual Use For Home And Car 120W High Power Powerful</c:v>
                </c:pt>
                <c:pt idx="44">
                  <c:v>Wall-mounted Sticker Punch-free Plug Fixer</c:v>
                </c:pt>
                <c:pt idx="45">
                  <c:v>Watercolour Gold Foil Textured Print Pillow Cover</c:v>
                </c:pt>
                <c:pt idx="46">
                  <c:v>Weighing Scale Digital Bathroom Body Fat Scale USB-Black</c:v>
                </c:pt>
                <c:pt idx="47">
                  <c:v>Wrought Iron Bathroom Shelf Wall Mounted Free Punch Toilet Rack</c:v>
                </c:pt>
              </c:strCache>
            </c:strRef>
          </c:cat>
          <c:val>
            <c:numRef>
              <c:f>Top_Products_By_Rating!$B$4:$B$52</c:f>
              <c:numCache>
                <c:formatCode>General</c:formatCode>
                <c:ptCount val="48"/>
                <c:pt idx="0">
                  <c:v>4.5</c:v>
                </c:pt>
                <c:pt idx="1">
                  <c:v>4.7</c:v>
                </c:pt>
                <c:pt idx="2">
                  <c:v>4.5</c:v>
                </c:pt>
                <c:pt idx="3">
                  <c:v>3.8</c:v>
                </c:pt>
                <c:pt idx="4">
                  <c:v>4.7</c:v>
                </c:pt>
                <c:pt idx="5">
                  <c:v>2.8</c:v>
                </c:pt>
                <c:pt idx="6">
                  <c:v>3.8</c:v>
                </c:pt>
                <c:pt idx="7">
                  <c:v>4.5999999999999996</c:v>
                </c:pt>
                <c:pt idx="8">
                  <c:v>4</c:v>
                </c:pt>
                <c:pt idx="9">
                  <c:v>3</c:v>
                </c:pt>
                <c:pt idx="10">
                  <c:v>2.2999999999999998</c:v>
                </c:pt>
                <c:pt idx="11">
                  <c:v>4.5999999999999996</c:v>
                </c:pt>
                <c:pt idx="12">
                  <c:v>3.3</c:v>
                </c:pt>
                <c:pt idx="13">
                  <c:v>4.8</c:v>
                </c:pt>
                <c:pt idx="14">
                  <c:v>2.5</c:v>
                </c:pt>
                <c:pt idx="15">
                  <c:v>4.5</c:v>
                </c:pt>
                <c:pt idx="16">
                  <c:v>4.7</c:v>
                </c:pt>
                <c:pt idx="17">
                  <c:v>2.1</c:v>
                </c:pt>
                <c:pt idx="18">
                  <c:v>2.2000000000000002</c:v>
                </c:pt>
                <c:pt idx="19">
                  <c:v>2.6</c:v>
                </c:pt>
                <c:pt idx="20">
                  <c:v>5</c:v>
                </c:pt>
                <c:pt idx="21">
                  <c:v>2.2000000000000002</c:v>
                </c:pt>
                <c:pt idx="22">
                  <c:v>5</c:v>
                </c:pt>
                <c:pt idx="23">
                  <c:v>5</c:v>
                </c:pt>
                <c:pt idx="24">
                  <c:v>4</c:v>
                </c:pt>
                <c:pt idx="25">
                  <c:v>5</c:v>
                </c:pt>
                <c:pt idx="26">
                  <c:v>2.1</c:v>
                </c:pt>
                <c:pt idx="27">
                  <c:v>4.5999999999999996</c:v>
                </c:pt>
                <c:pt idx="28">
                  <c:v>4</c:v>
                </c:pt>
                <c:pt idx="29">
                  <c:v>2.7</c:v>
                </c:pt>
                <c:pt idx="30">
                  <c:v>5</c:v>
                </c:pt>
                <c:pt idx="31">
                  <c:v>3</c:v>
                </c:pt>
                <c:pt idx="32">
                  <c:v>5</c:v>
                </c:pt>
                <c:pt idx="33">
                  <c:v>4.5</c:v>
                </c:pt>
                <c:pt idx="34">
                  <c:v>4.8</c:v>
                </c:pt>
                <c:pt idx="35">
                  <c:v>4</c:v>
                </c:pt>
                <c:pt idx="36">
                  <c:v>4.5999999999999996</c:v>
                </c:pt>
                <c:pt idx="37">
                  <c:v>3</c:v>
                </c:pt>
                <c:pt idx="38">
                  <c:v>3</c:v>
                </c:pt>
                <c:pt idx="39">
                  <c:v>5</c:v>
                </c:pt>
                <c:pt idx="40">
                  <c:v>4.8</c:v>
                </c:pt>
                <c:pt idx="41">
                  <c:v>4.5999999999999996</c:v>
                </c:pt>
                <c:pt idx="42">
                  <c:v>3.8</c:v>
                </c:pt>
                <c:pt idx="43">
                  <c:v>2.9</c:v>
                </c:pt>
                <c:pt idx="44">
                  <c:v>2</c:v>
                </c:pt>
                <c:pt idx="45">
                  <c:v>2.2999999999999998</c:v>
                </c:pt>
                <c:pt idx="46">
                  <c:v>4.7</c:v>
                </c:pt>
                <c:pt idx="47">
                  <c:v>3</c:v>
                </c:pt>
              </c:numCache>
            </c:numRef>
          </c:val>
          <c:extLst>
            <c:ext xmlns:c16="http://schemas.microsoft.com/office/drawing/2014/chart" uri="{C3380CC4-5D6E-409C-BE32-E72D297353CC}">
              <c16:uniqueId val="{00000002-DD71-4FB9-B1A5-531CA07E8E9D}"/>
            </c:ext>
          </c:extLst>
        </c:ser>
        <c:dLbls>
          <c:showLegendKey val="0"/>
          <c:showVal val="0"/>
          <c:showCatName val="0"/>
          <c:showSerName val="0"/>
          <c:showPercent val="0"/>
          <c:showBubbleSize val="0"/>
        </c:dLbls>
        <c:gapWidth val="182"/>
        <c:axId val="2094765503"/>
        <c:axId val="1224650479"/>
      </c:barChart>
      <c:catAx>
        <c:axId val="209476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24650479"/>
        <c:crosses val="autoZero"/>
        <c:auto val="1"/>
        <c:lblAlgn val="ctr"/>
        <c:lblOffset val="100"/>
        <c:noMultiLvlLbl val="0"/>
      </c:catAx>
      <c:valAx>
        <c:axId val="122465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9476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[jumia_product_dashboard.xlsx]Top_Products_By_Discount!PivotTable6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Discount</a:t>
            </a:r>
          </a:p>
        </c:rich>
      </c:tx>
      <c:layout>
        <c:manualLayout>
          <c:xMode val="edge"/>
          <c:yMode val="edge"/>
          <c:x val="0.31554155730533678"/>
          <c:y val="0.147127442403032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Top_Products_By_Discount!$B$3</c:f>
              <c:strCache>
                <c:ptCount val="1"/>
                <c:pt idx="0">
                  <c:v>Total</c:v>
                </c:pt>
              </c:strCache>
            </c:strRef>
          </c:tx>
          <c:spPr>
            <a:solidFill>
              <a:schemeClr val="accent1"/>
            </a:solidFill>
            <a:ln>
              <a:noFill/>
            </a:ln>
            <a:effectLst/>
          </c:spPr>
          <c:invertIfNegative val="0"/>
          <c:cat>
            <c:strRef>
              <c:f>Top_Products_By_Discount!$A$4:$A$52</c:f>
              <c:strCache>
                <c:ptCount val="48"/>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13 In 1 Home Repair Tools Box Kit Set</c:v>
                </c:pt>
                <c:pt idx="7">
                  <c:v>137 Pieces Cake Decorating Tool Set Baking Supplies</c:v>
                </c:pt>
                <c:pt idx="8">
                  <c:v>220V 60W Electric Soldering Iron Kits With Tools, Tips, And Multimeter</c:v>
                </c:pt>
                <c:pt idx="9">
                  <c:v>32PCS Portable Cordless Drill Set With Cyclic Battery Drive -26 Variable Speed</c:v>
                </c:pt>
                <c:pt idx="10">
                  <c:v>380ML USB Rechargeable Portable Small Blenders And Juicers</c:v>
                </c:pt>
                <c:pt idx="11">
                  <c:v>3D Waterproof EVA Plastic Shower Curtain 1.8*2Mtrs</c:v>
                </c:pt>
                <c:pt idx="12">
                  <c:v>3PCS Single Head Knitting Crochet Sweater Needle Set</c:v>
                </c:pt>
                <c:pt idx="13">
                  <c:v>40cm Gold DIY Acrylic Wall Sticker Clock</c:v>
                </c:pt>
                <c:pt idx="14">
                  <c:v>5 Pieces/set Of Stainless Steel Induction Cooker Pots</c:v>
                </c:pt>
                <c:pt idx="15">
                  <c:v>53 Pieces/Set Yarn Knitting Crochet Hooks With Bag - Pansies</c:v>
                </c:pt>
                <c:pt idx="16">
                  <c:v>53Pcs/Set Yarn Knitting Crochet Hooks With Bag - Fortune Cat</c:v>
                </c:pt>
                <c:pt idx="17">
                  <c:v>5-PCS Stainless Steel Cooking Pot Set With Steamed Slices</c:v>
                </c:pt>
                <c:pt idx="18">
                  <c:v>7-piece Set Of Storage Bags, Travel Storage Bags, Shoe Bags</c:v>
                </c:pt>
                <c:pt idx="19">
                  <c:v>Agapeon Toothbrush Holder And Toothpaste Dispenser</c:v>
                </c:pt>
                <c:pt idx="20">
                  <c:v>Anti-Skid Absorbent Insulation Coaster  For Home Office</c:v>
                </c:pt>
                <c:pt idx="21">
                  <c:v>Artificial Potted Flowers Room Decorative Flowers (2 Pieces)</c:v>
                </c:pt>
                <c:pt idx="22">
                  <c:v>Bedroom Simple Floor Hanging Clothes Rack Single Pole Hat Rack - White</c:v>
                </c:pt>
                <c:pt idx="23">
                  <c:v>Classic Black Cat Cotton Hemp Pillow Case For Home Car</c:v>
                </c:pt>
                <c:pt idx="24">
                  <c:v>Desk Foldable Fan Adjustable Fan Strong Wind 3 Gear Usb</c:v>
                </c:pt>
                <c:pt idx="25">
                  <c:v>DIY File Folder, Office Drawer File Holder, Pen Holder, Desktop Storage Rack</c:v>
                </c:pt>
                <c:pt idx="26">
                  <c:v>Electric LED UV Mosquito Killer Lamp, Outdoor/Indoor Fly Killer Trap Light -USB</c:v>
                </c:pt>
                <c:pt idx="27">
                  <c:v>Electronic Digital Display Vernier Caliper</c:v>
                </c:pt>
                <c:pt idx="28">
                  <c:v>Household Pineapple Peeler Peeler</c:v>
                </c:pt>
                <c:pt idx="29">
                  <c:v>Intelligent  LED Body Sensor Wireless Lighting Night Light USB</c:v>
                </c:pt>
                <c:pt idx="30">
                  <c:v>Konka Healty Electric Kettle, 24-hour Heat Preservation,1.5L,800W, White</c:v>
                </c:pt>
                <c:pt idx="31">
                  <c:v>Large Lazy Inflatable Sofa Chairs PVC Lounger Seat Bag</c:v>
                </c:pt>
                <c:pt idx="32">
                  <c:v>LASA Aluminum Folding Truck Hand Cart - 68kg Max</c:v>
                </c:pt>
                <c:pt idx="33">
                  <c:v>LASA Digital Thermometer And Hydrometer</c:v>
                </c:pt>
                <c:pt idx="34">
                  <c:v>LASA FOLDING TABLE SERVING STAND</c:v>
                </c:pt>
                <c:pt idx="35">
                  <c:v>LED Romantic Spaceship Starry Sky Projector,Children's Bedroom Night Light-Blue</c:v>
                </c:pt>
                <c:pt idx="36">
                  <c:v>LED Wall Digital Alarm Clock Study Home 12 / 24H Clock Calendar</c:v>
                </c:pt>
                <c:pt idx="37">
                  <c:v>Memory Foam Neck Pillow Cover, With Pillow Core - 50*30cm</c:v>
                </c:pt>
                <c:pt idx="38">
                  <c:v>Mythco 120COB Solar Wall Ligt With Motion Sensor And Remote Control 3 Modes</c:v>
                </c:pt>
                <c:pt idx="39">
                  <c:v>Peacock  Throw Pillow Cushion Case For Home Car</c:v>
                </c:pt>
                <c:pt idx="40">
                  <c:v>Portable Home Small Air Humidifier 3-Speed Fan - Green</c:v>
                </c:pt>
                <c:pt idx="41">
                  <c:v>Portable Mini Cordless Car Vacuum Cleaner - Blue</c:v>
                </c:pt>
                <c:pt idx="42">
                  <c:v>Portable Wardrobe Nonwoven With 3 Hanging Rods And 6 Storage Shelves</c:v>
                </c:pt>
                <c:pt idx="43">
                  <c:v>VIC Wireless Vacuum Cleaner Dual Use For Home And Car 120W High Power Powerful</c:v>
                </c:pt>
                <c:pt idx="44">
                  <c:v>Wall-mounted Sticker Punch-free Plug Fixer</c:v>
                </c:pt>
                <c:pt idx="45">
                  <c:v>Watercolour Gold Foil Textured Print Pillow Cover</c:v>
                </c:pt>
                <c:pt idx="46">
                  <c:v>Weighing Scale Digital Bathroom Body Fat Scale USB-Black</c:v>
                </c:pt>
                <c:pt idx="47">
                  <c:v>Wrought Iron Bathroom Shelf Wall Mounted Free Punch Toilet Rack</c:v>
                </c:pt>
              </c:strCache>
            </c:strRef>
          </c:cat>
          <c:val>
            <c:numRef>
              <c:f>Top_Products_By_Discount!$B$4:$B$52</c:f>
              <c:numCache>
                <c:formatCode>0.00%</c:formatCode>
                <c:ptCount val="48"/>
                <c:pt idx="0">
                  <c:v>0.38</c:v>
                </c:pt>
                <c:pt idx="1">
                  <c:v>0.34</c:v>
                </c:pt>
                <c:pt idx="2">
                  <c:v>0.38</c:v>
                </c:pt>
                <c:pt idx="3">
                  <c:v>0.32</c:v>
                </c:pt>
                <c:pt idx="4">
                  <c:v>0.34</c:v>
                </c:pt>
                <c:pt idx="5">
                  <c:v>0.49</c:v>
                </c:pt>
                <c:pt idx="6">
                  <c:v>0.45</c:v>
                </c:pt>
                <c:pt idx="7">
                  <c:v>0.24</c:v>
                </c:pt>
                <c:pt idx="8">
                  <c:v>0.09</c:v>
                </c:pt>
                <c:pt idx="9">
                  <c:v>0.39</c:v>
                </c:pt>
                <c:pt idx="10">
                  <c:v>0.5</c:v>
                </c:pt>
                <c:pt idx="11">
                  <c:v>0.49</c:v>
                </c:pt>
                <c:pt idx="12">
                  <c:v>0.53</c:v>
                </c:pt>
                <c:pt idx="13">
                  <c:v>0.47</c:v>
                </c:pt>
                <c:pt idx="14">
                  <c:v>0.13</c:v>
                </c:pt>
                <c:pt idx="15">
                  <c:v>0.27</c:v>
                </c:pt>
                <c:pt idx="16">
                  <c:v>0.27</c:v>
                </c:pt>
                <c:pt idx="17">
                  <c:v>0.55000000000000004</c:v>
                </c:pt>
                <c:pt idx="18">
                  <c:v>0.47</c:v>
                </c:pt>
                <c:pt idx="19">
                  <c:v>0.45</c:v>
                </c:pt>
                <c:pt idx="20">
                  <c:v>0.51</c:v>
                </c:pt>
                <c:pt idx="21">
                  <c:v>0.45</c:v>
                </c:pt>
                <c:pt idx="22">
                  <c:v>0.49</c:v>
                </c:pt>
                <c:pt idx="23">
                  <c:v>0.53</c:v>
                </c:pt>
                <c:pt idx="24">
                  <c:v>0.37</c:v>
                </c:pt>
                <c:pt idx="25">
                  <c:v>0.4</c:v>
                </c:pt>
                <c:pt idx="26">
                  <c:v>0.47</c:v>
                </c:pt>
                <c:pt idx="27">
                  <c:v>0.35</c:v>
                </c:pt>
                <c:pt idx="28">
                  <c:v>0.49</c:v>
                </c:pt>
                <c:pt idx="29">
                  <c:v>0.52</c:v>
                </c:pt>
                <c:pt idx="30">
                  <c:v>0.21</c:v>
                </c:pt>
                <c:pt idx="31">
                  <c:v>0.28999999999999998</c:v>
                </c:pt>
                <c:pt idx="32">
                  <c:v>0.49</c:v>
                </c:pt>
                <c:pt idx="33">
                  <c:v>0.42</c:v>
                </c:pt>
                <c:pt idx="34">
                  <c:v>0.55000000000000004</c:v>
                </c:pt>
                <c:pt idx="35">
                  <c:v>0.35</c:v>
                </c:pt>
                <c:pt idx="36">
                  <c:v>0.19</c:v>
                </c:pt>
                <c:pt idx="37">
                  <c:v>0.46</c:v>
                </c:pt>
                <c:pt idx="38">
                  <c:v>0.54</c:v>
                </c:pt>
                <c:pt idx="39">
                  <c:v>0.46</c:v>
                </c:pt>
                <c:pt idx="40">
                  <c:v>0.26</c:v>
                </c:pt>
                <c:pt idx="41">
                  <c:v>0.25</c:v>
                </c:pt>
                <c:pt idx="42">
                  <c:v>0.18</c:v>
                </c:pt>
                <c:pt idx="43">
                  <c:v>0.22</c:v>
                </c:pt>
                <c:pt idx="44">
                  <c:v>0.5</c:v>
                </c:pt>
                <c:pt idx="45">
                  <c:v>0.43</c:v>
                </c:pt>
                <c:pt idx="46">
                  <c:v>0.37</c:v>
                </c:pt>
                <c:pt idx="47">
                  <c:v>0.43</c:v>
                </c:pt>
              </c:numCache>
            </c:numRef>
          </c:val>
          <c:extLst>
            <c:ext xmlns:c16="http://schemas.microsoft.com/office/drawing/2014/chart" uri="{C3380CC4-5D6E-409C-BE32-E72D297353CC}">
              <c16:uniqueId val="{00000000-8697-4916-9A57-6726AFD1BB1A}"/>
            </c:ext>
          </c:extLst>
        </c:ser>
        <c:dLbls>
          <c:showLegendKey val="0"/>
          <c:showVal val="0"/>
          <c:showCatName val="0"/>
          <c:showSerName val="0"/>
          <c:showPercent val="0"/>
          <c:showBubbleSize val="0"/>
        </c:dLbls>
        <c:gapWidth val="182"/>
        <c:axId val="2147143631"/>
        <c:axId val="2139920591"/>
      </c:barChart>
      <c:catAx>
        <c:axId val="214714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39920591"/>
        <c:crosses val="autoZero"/>
        <c:auto val="1"/>
        <c:lblAlgn val="ctr"/>
        <c:lblOffset val="100"/>
        <c:noMultiLvlLbl val="0"/>
      </c:catAx>
      <c:valAx>
        <c:axId val="213992059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471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[jumia_product_dashboard.xlsx]Top_Products_By_Reviews!PivotTable26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r>
              <a:rPr lang="en-US" baseline="0"/>
              <a:t> by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Top_Products_By_Reviews!$B$3</c:f>
              <c:strCache>
                <c:ptCount val="1"/>
                <c:pt idx="0">
                  <c:v>Total</c:v>
                </c:pt>
              </c:strCache>
            </c:strRef>
          </c:tx>
          <c:spPr>
            <a:solidFill>
              <a:schemeClr val="accent1"/>
            </a:solidFill>
            <a:ln>
              <a:noFill/>
            </a:ln>
            <a:effectLst/>
          </c:spPr>
          <c:invertIfNegative val="0"/>
          <c:cat>
            <c:strRef>
              <c:f>Top_Products_By_Reviews!$A$4:$A$52</c:f>
              <c:strCache>
                <c:ptCount val="48"/>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13 In 1 Home Repair Tools Box Kit Set</c:v>
                </c:pt>
                <c:pt idx="7">
                  <c:v>137 Pieces Cake Decorating Tool Set Baking Supplies</c:v>
                </c:pt>
                <c:pt idx="8">
                  <c:v>220V 60W Electric Soldering Iron Kits With Tools, Tips, And Multimeter</c:v>
                </c:pt>
                <c:pt idx="9">
                  <c:v>32PCS Portable Cordless Drill Set With Cyclic Battery Drive -26 Variable Speed</c:v>
                </c:pt>
                <c:pt idx="10">
                  <c:v>380ML USB Rechargeable Portable Small Blenders And Juicers</c:v>
                </c:pt>
                <c:pt idx="11">
                  <c:v>3D Waterproof EVA Plastic Shower Curtain 1.8*2Mtrs</c:v>
                </c:pt>
                <c:pt idx="12">
                  <c:v>3PCS Single Head Knitting Crochet Sweater Needle Set</c:v>
                </c:pt>
                <c:pt idx="13">
                  <c:v>40cm Gold DIY Acrylic Wall Sticker Clock</c:v>
                </c:pt>
                <c:pt idx="14">
                  <c:v>5 Pieces/set Of Stainless Steel Induction Cooker Pots</c:v>
                </c:pt>
                <c:pt idx="15">
                  <c:v>53 Pieces/Set Yarn Knitting Crochet Hooks With Bag - Pansies</c:v>
                </c:pt>
                <c:pt idx="16">
                  <c:v>53Pcs/Set Yarn Knitting Crochet Hooks With Bag - Fortune Cat</c:v>
                </c:pt>
                <c:pt idx="17">
                  <c:v>5-PCS Stainless Steel Cooking Pot Set With Steamed Slices</c:v>
                </c:pt>
                <c:pt idx="18">
                  <c:v>7-piece Set Of Storage Bags, Travel Storage Bags, Shoe Bags</c:v>
                </c:pt>
                <c:pt idx="19">
                  <c:v>Agapeon Toothbrush Holder And Toothpaste Dispenser</c:v>
                </c:pt>
                <c:pt idx="20">
                  <c:v>Anti-Skid Absorbent Insulation Coaster  For Home Office</c:v>
                </c:pt>
                <c:pt idx="21">
                  <c:v>Artificial Potted Flowers Room Decorative Flowers (2 Pieces)</c:v>
                </c:pt>
                <c:pt idx="22">
                  <c:v>Bedroom Simple Floor Hanging Clothes Rack Single Pole Hat Rack - White</c:v>
                </c:pt>
                <c:pt idx="23">
                  <c:v>Classic Black Cat Cotton Hemp Pillow Case For Home Car</c:v>
                </c:pt>
                <c:pt idx="24">
                  <c:v>Desk Foldable Fan Adjustable Fan Strong Wind 3 Gear Usb</c:v>
                </c:pt>
                <c:pt idx="25">
                  <c:v>DIY File Folder, Office Drawer File Holder, Pen Holder, Desktop Storage Rack</c:v>
                </c:pt>
                <c:pt idx="26">
                  <c:v>Electric LED UV Mosquito Killer Lamp, Outdoor/Indoor Fly Killer Trap Light -USB</c:v>
                </c:pt>
                <c:pt idx="27">
                  <c:v>Electronic Digital Display Vernier Caliper</c:v>
                </c:pt>
                <c:pt idx="28">
                  <c:v>Household Pineapple Peeler Peeler</c:v>
                </c:pt>
                <c:pt idx="29">
                  <c:v>Intelligent  LED Body Sensor Wireless Lighting Night Light USB</c:v>
                </c:pt>
                <c:pt idx="30">
                  <c:v>Konka Healty Electric Kettle, 24-hour Heat Preservation,1.5L,800W, White</c:v>
                </c:pt>
                <c:pt idx="31">
                  <c:v>Large Lazy Inflatable Sofa Chairs PVC Lounger Seat Bag</c:v>
                </c:pt>
                <c:pt idx="32">
                  <c:v>LASA Aluminum Folding Truck Hand Cart - 68kg Max</c:v>
                </c:pt>
                <c:pt idx="33">
                  <c:v>LASA Digital Thermometer And Hydrometer</c:v>
                </c:pt>
                <c:pt idx="34">
                  <c:v>LASA FOLDING TABLE SERVING STAND</c:v>
                </c:pt>
                <c:pt idx="35">
                  <c:v>LED Romantic Spaceship Starry Sky Projector,Children's Bedroom Night Light-Blue</c:v>
                </c:pt>
                <c:pt idx="36">
                  <c:v>LED Wall Digital Alarm Clock Study Home 12 / 24H Clock Calendar</c:v>
                </c:pt>
                <c:pt idx="37">
                  <c:v>Memory Foam Neck Pillow Cover, With Pillow Core - 50*30cm</c:v>
                </c:pt>
                <c:pt idx="38">
                  <c:v>Mythco 120COB Solar Wall Ligt With Motion Sensor And Remote Control 3 Modes</c:v>
                </c:pt>
                <c:pt idx="39">
                  <c:v>Peacock  Throw Pillow Cushion Case For Home Car</c:v>
                </c:pt>
                <c:pt idx="40">
                  <c:v>Portable Home Small Air Humidifier 3-Speed Fan - Green</c:v>
                </c:pt>
                <c:pt idx="41">
                  <c:v>Portable Mini Cordless Car Vacuum Cleaner - Blue</c:v>
                </c:pt>
                <c:pt idx="42">
                  <c:v>Portable Wardrobe Nonwoven With 3 Hanging Rods And 6 Storage Shelves</c:v>
                </c:pt>
                <c:pt idx="43">
                  <c:v>VIC Wireless Vacuum Cleaner Dual Use For Home And Car 120W High Power Powerful</c:v>
                </c:pt>
                <c:pt idx="44">
                  <c:v>Wall-mounted Sticker Punch-free Plug Fixer</c:v>
                </c:pt>
                <c:pt idx="45">
                  <c:v>Watercolour Gold Foil Textured Print Pillow Cover</c:v>
                </c:pt>
                <c:pt idx="46">
                  <c:v>Weighing Scale Digital Bathroom Body Fat Scale USB-Black</c:v>
                </c:pt>
                <c:pt idx="47">
                  <c:v>Wrought Iron Bathroom Shelf Wall Mounted Free Punch Toilet Rack</c:v>
                </c:pt>
              </c:strCache>
            </c:strRef>
          </c:cat>
          <c:val>
            <c:numRef>
              <c:f>Top_Products_By_Reviews!$B$4:$B$52</c:f>
              <c:numCache>
                <c:formatCode>General</c:formatCode>
                <c:ptCount val="48"/>
                <c:pt idx="0">
                  <c:v>2</c:v>
                </c:pt>
                <c:pt idx="1">
                  <c:v>39</c:v>
                </c:pt>
                <c:pt idx="2">
                  <c:v>2</c:v>
                </c:pt>
                <c:pt idx="3">
                  <c:v>13</c:v>
                </c:pt>
                <c:pt idx="4">
                  <c:v>12</c:v>
                </c:pt>
                <c:pt idx="5">
                  <c:v>69</c:v>
                </c:pt>
                <c:pt idx="6">
                  <c:v>5</c:v>
                </c:pt>
                <c:pt idx="7">
                  <c:v>55</c:v>
                </c:pt>
                <c:pt idx="8">
                  <c:v>15</c:v>
                </c:pt>
                <c:pt idx="9">
                  <c:v>5</c:v>
                </c:pt>
                <c:pt idx="10">
                  <c:v>7</c:v>
                </c:pt>
                <c:pt idx="11">
                  <c:v>44</c:v>
                </c:pt>
                <c:pt idx="12">
                  <c:v>13</c:v>
                </c:pt>
                <c:pt idx="13">
                  <c:v>12</c:v>
                </c:pt>
                <c:pt idx="14">
                  <c:v>6</c:v>
                </c:pt>
                <c:pt idx="15">
                  <c:v>32</c:v>
                </c:pt>
                <c:pt idx="16">
                  <c:v>20</c:v>
                </c:pt>
                <c:pt idx="17">
                  <c:v>13</c:v>
                </c:pt>
                <c:pt idx="18">
                  <c:v>6</c:v>
                </c:pt>
                <c:pt idx="19">
                  <c:v>17</c:v>
                </c:pt>
                <c:pt idx="20">
                  <c:v>2</c:v>
                </c:pt>
                <c:pt idx="21">
                  <c:v>6</c:v>
                </c:pt>
                <c:pt idx="22">
                  <c:v>1</c:v>
                </c:pt>
                <c:pt idx="23">
                  <c:v>2</c:v>
                </c:pt>
                <c:pt idx="24">
                  <c:v>2</c:v>
                </c:pt>
                <c:pt idx="25">
                  <c:v>1</c:v>
                </c:pt>
                <c:pt idx="26">
                  <c:v>7</c:v>
                </c:pt>
                <c:pt idx="27">
                  <c:v>49</c:v>
                </c:pt>
                <c:pt idx="28">
                  <c:v>1</c:v>
                </c:pt>
                <c:pt idx="29">
                  <c:v>15</c:v>
                </c:pt>
                <c:pt idx="30">
                  <c:v>1</c:v>
                </c:pt>
                <c:pt idx="31">
                  <c:v>5</c:v>
                </c:pt>
                <c:pt idx="32">
                  <c:v>3</c:v>
                </c:pt>
                <c:pt idx="33">
                  <c:v>6</c:v>
                </c:pt>
                <c:pt idx="34">
                  <c:v>5</c:v>
                </c:pt>
                <c:pt idx="35">
                  <c:v>6</c:v>
                </c:pt>
                <c:pt idx="36">
                  <c:v>5</c:v>
                </c:pt>
                <c:pt idx="37">
                  <c:v>1</c:v>
                </c:pt>
                <c:pt idx="38">
                  <c:v>10</c:v>
                </c:pt>
                <c:pt idx="39">
                  <c:v>2</c:v>
                </c:pt>
                <c:pt idx="40">
                  <c:v>5</c:v>
                </c:pt>
                <c:pt idx="41">
                  <c:v>24</c:v>
                </c:pt>
                <c:pt idx="42">
                  <c:v>12</c:v>
                </c:pt>
                <c:pt idx="43">
                  <c:v>16</c:v>
                </c:pt>
                <c:pt idx="44">
                  <c:v>1</c:v>
                </c:pt>
                <c:pt idx="45">
                  <c:v>6</c:v>
                </c:pt>
                <c:pt idx="46">
                  <c:v>7</c:v>
                </c:pt>
                <c:pt idx="47">
                  <c:v>5</c:v>
                </c:pt>
              </c:numCache>
            </c:numRef>
          </c:val>
          <c:extLst>
            <c:ext xmlns:c16="http://schemas.microsoft.com/office/drawing/2014/chart" uri="{C3380CC4-5D6E-409C-BE32-E72D297353CC}">
              <c16:uniqueId val="{00000000-26B2-416F-9F9C-0BF017DCDAEC}"/>
            </c:ext>
          </c:extLst>
        </c:ser>
        <c:dLbls>
          <c:showLegendKey val="0"/>
          <c:showVal val="0"/>
          <c:showCatName val="0"/>
          <c:showSerName val="0"/>
          <c:showPercent val="0"/>
          <c:showBubbleSize val="0"/>
        </c:dLbls>
        <c:gapWidth val="182"/>
        <c:axId val="2147100943"/>
        <c:axId val="2139945551"/>
      </c:barChart>
      <c:catAx>
        <c:axId val="214710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39945551"/>
        <c:crosses val="autoZero"/>
        <c:auto val="1"/>
        <c:lblAlgn val="ctr"/>
        <c:lblOffset val="100"/>
        <c:noMultiLvlLbl val="0"/>
      </c:catAx>
      <c:valAx>
        <c:axId val="213994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4710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vs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Cleaned_Data!$E$1</c:f>
              <c:strCache>
                <c:ptCount val="1"/>
                <c:pt idx="0">
                  <c:v>Review</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Cleaned_Data!$D$2:$D$115</c:f>
              <c:numCache>
                <c:formatCode>0.00%</c:formatCode>
                <c:ptCount val="114"/>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Cleaned_Data!$E$2:$E$115</c:f>
              <c:numCache>
                <c:formatCode>0</c:formatCode>
                <c:ptCount val="114"/>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yVal>
          <c:smooth val="0"/>
          <c:extLst>
            <c:ext xmlns:c16="http://schemas.microsoft.com/office/drawing/2014/chart" uri="{C3380CC4-5D6E-409C-BE32-E72D297353CC}">
              <c16:uniqueId val="{00000000-C7BE-4733-BE05-6795C56A1442}"/>
            </c:ext>
          </c:extLst>
        </c:ser>
        <c:dLbls>
          <c:showLegendKey val="0"/>
          <c:showVal val="0"/>
          <c:showCatName val="0"/>
          <c:showSerName val="0"/>
          <c:showPercent val="0"/>
          <c:showBubbleSize val="0"/>
        </c:dLbls>
        <c:axId val="1412426543"/>
        <c:axId val="424778607"/>
      </c:scatterChart>
      <c:valAx>
        <c:axId val="14124265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24778607"/>
        <c:crosses val="autoZero"/>
        <c:crossBetween val="midCat"/>
      </c:valAx>
      <c:valAx>
        <c:axId val="4247786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1242654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Price vs</a:t>
            </a:r>
            <a:r>
              <a:rPr lang="en-US" baseline="0"/>
              <a: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Cleaned_Data!$F$1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Cleaned_Data!$B$2:$B$115</c:f>
              <c:numCache>
                <c:formatCode>0.00</c:formatCode>
                <c:ptCount val="114"/>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1800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Cleaned_Data!$F$2:$F$115</c:f>
              <c:numCache>
                <c:formatCode>0.0</c:formatCode>
                <c:ptCount val="114"/>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0-6115-4374-B3F2-16D206671A33}"/>
            </c:ext>
          </c:extLst>
        </c:ser>
        <c:dLbls>
          <c:showLegendKey val="0"/>
          <c:showVal val="0"/>
          <c:showCatName val="0"/>
          <c:showSerName val="0"/>
          <c:showPercent val="0"/>
          <c:showBubbleSize val="0"/>
        </c:dLbls>
        <c:axId val="487261855"/>
        <c:axId val="424809807"/>
      </c:scatterChart>
      <c:valAx>
        <c:axId val="487261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 Price</a:t>
                </a:r>
              </a:p>
            </c:rich>
          </c:tx>
          <c:layout>
            <c:manualLayout>
              <c:xMode val="edge"/>
              <c:yMode val="edge"/>
              <c:x val="0.35812443373403946"/>
              <c:y val="0.894121053050186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24809807"/>
        <c:crosses val="autoZero"/>
        <c:crossBetween val="midCat"/>
      </c:valAx>
      <c:valAx>
        <c:axId val="424809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872618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a:t>
            </a:r>
            <a:r>
              <a:rPr lang="en-US" baseline="0"/>
              <a:t> vs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Cleaned_Data!$F$1</c:f>
              <c:strCache>
                <c:ptCount val="1"/>
                <c:pt idx="0">
                  <c:v>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trendlineLbl>
          </c:trendline>
          <c:xVal>
            <c:numRef>
              <c:f>Cleaned_Data!$E$2:$E$113</c:f>
              <c:numCache>
                <c:formatCode>0</c:formatCod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numCache>
            </c:numRef>
          </c:xVal>
          <c:yVal>
            <c:numRef>
              <c:f>Cleaned_Data!$F$2:$F$113</c:f>
              <c:numCache>
                <c:formatCode>0.0</c:formatCode>
                <c:ptCount val="112"/>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38">
                  <c:v>4.5</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8">
                  <c:v>3</c:v>
                </c:pt>
                <c:pt idx="79">
                  <c:v>5</c:v>
                </c:pt>
                <c:pt idx="82">
                  <c:v>4</c:v>
                </c:pt>
                <c:pt idx="101">
                  <c:v>5</c:v>
                </c:pt>
                <c:pt idx="110">
                  <c:v>2</c:v>
                </c:pt>
              </c:numCache>
            </c:numRef>
          </c:yVal>
          <c:smooth val="0"/>
          <c:extLst>
            <c:ext xmlns:c16="http://schemas.microsoft.com/office/drawing/2014/chart" uri="{C3380CC4-5D6E-409C-BE32-E72D297353CC}">
              <c16:uniqueId val="{00000000-8902-4D26-A352-C1173CFCC8B2}"/>
            </c:ext>
          </c:extLst>
        </c:ser>
        <c:dLbls>
          <c:showLegendKey val="0"/>
          <c:showVal val="0"/>
          <c:showCatName val="0"/>
          <c:showSerName val="0"/>
          <c:showPercent val="0"/>
          <c:showBubbleSize val="0"/>
        </c:dLbls>
        <c:axId val="2122380975"/>
        <c:axId val="1224619759"/>
      </c:scatterChart>
      <c:valAx>
        <c:axId val="2122380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24619759"/>
        <c:crosses val="autoZero"/>
        <c:crossBetween val="midCat"/>
      </c:valAx>
      <c:valAx>
        <c:axId val="1224619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223809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[jumia_product_dashboard.xlsx]Rating_Mix!PivotTable1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Ratings</a:t>
            </a:r>
            <a:r>
              <a:rPr lang="en-US" baseline="0"/>
              <a:t> Mix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Rating_Mix!$B$3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A7-4032-B731-B872412080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A7-4032-B731-B872412080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A7-4032-B731-B872412080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A7-4032-B731-B872412080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A7-4032-B731-B87241208095}"/>
              </c:ext>
            </c:extLst>
          </c:dPt>
          <c:cat>
            <c:strRef>
              <c:f>Rating_Mix!$A$4:$A$7</c:f>
              <c:strCache>
                <c:ptCount val="3"/>
                <c:pt idx="0">
                  <c:v>Average</c:v>
                </c:pt>
                <c:pt idx="1">
                  <c:v>Excellent</c:v>
                </c:pt>
                <c:pt idx="2">
                  <c:v>Poor</c:v>
                </c:pt>
              </c:strCache>
            </c:strRef>
          </c:cat>
          <c:val>
            <c:numRef>
              <c:f>Rating_Mix!$B$4:$B$7</c:f>
              <c:numCache>
                <c:formatCode>General</c:formatCode>
                <c:ptCount val="3"/>
                <c:pt idx="0">
                  <c:v>13</c:v>
                </c:pt>
                <c:pt idx="1">
                  <c:v>23</c:v>
                </c:pt>
                <c:pt idx="2">
                  <c:v>12</c:v>
                </c:pt>
              </c:numCache>
            </c:numRef>
          </c:val>
          <c:extLst>
            <c:ext xmlns:c16="http://schemas.microsoft.com/office/drawing/2014/chart" uri="{C3380CC4-5D6E-409C-BE32-E72D297353CC}">
              <c16:uniqueId val="{0000000A-4DA7-4032-B731-B872412080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[jumia_product_dashboard.xlsx]Discount_Mix!PivotTable2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Discount_Mix!$B$3</c:f>
              <c:strCache>
                <c:ptCount val="1"/>
                <c:pt idx="0">
                  <c:v>Total</c:v>
                </c:pt>
              </c:strCache>
            </c:strRef>
          </c:tx>
          <c:spPr>
            <a:solidFill>
              <a:schemeClr val="accent1"/>
            </a:solidFill>
            <a:ln>
              <a:noFill/>
            </a:ln>
            <a:effectLst/>
          </c:spPr>
          <c:invertIfNegative val="0"/>
          <c:cat>
            <c:strRef>
              <c:f>Discount_Mix!$A$4:$A$7</c:f>
              <c:strCache>
                <c:ptCount val="3"/>
                <c:pt idx="0">
                  <c:v>High Discount</c:v>
                </c:pt>
                <c:pt idx="1">
                  <c:v>Low Discount</c:v>
                </c:pt>
                <c:pt idx="2">
                  <c:v>Medium Discount</c:v>
                </c:pt>
              </c:strCache>
            </c:strRef>
          </c:cat>
          <c:val>
            <c:numRef>
              <c:f>Discount_Mix!$B$4:$B$7</c:f>
              <c:numCache>
                <c:formatCode>General</c:formatCode>
                <c:ptCount val="3"/>
                <c:pt idx="0">
                  <c:v>25</c:v>
                </c:pt>
                <c:pt idx="1">
                  <c:v>4</c:v>
                </c:pt>
                <c:pt idx="2">
                  <c:v>19</c:v>
                </c:pt>
              </c:numCache>
            </c:numRef>
          </c:val>
          <c:extLst>
            <c:ext xmlns:c16="http://schemas.microsoft.com/office/drawing/2014/chart" uri="{C3380CC4-5D6E-409C-BE32-E72D297353CC}">
              <c16:uniqueId val="{00000000-6D8F-4AB7-B1C8-EFE6C9EC2B45}"/>
            </c:ext>
          </c:extLst>
        </c:ser>
        <c:dLbls>
          <c:showLegendKey val="0"/>
          <c:showVal val="0"/>
          <c:showCatName val="0"/>
          <c:showSerName val="0"/>
          <c:showPercent val="0"/>
          <c:showBubbleSize val="0"/>
        </c:dLbls>
        <c:gapWidth val="219"/>
        <c:overlap val="-27"/>
        <c:axId val="2094784527"/>
        <c:axId val="1224620719"/>
      </c:barChart>
      <c:catAx>
        <c:axId val="209478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24620719"/>
        <c:crosses val="autoZero"/>
        <c:auto val="1"/>
        <c:lblAlgn val="ctr"/>
        <c:lblOffset val="100"/>
        <c:noMultiLvlLbl val="0"/>
      </c:catAx>
      <c:valAx>
        <c:axId val="122462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9478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[jumia_product_dashboard.xlsx]Price_vs_Rating!PivotTable3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vs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Price_vs_Rating!$B$3</c:f>
              <c:strCache>
                <c:ptCount val="1"/>
                <c:pt idx="0">
                  <c:v>Total</c:v>
                </c:pt>
              </c:strCache>
            </c:strRef>
          </c:tx>
          <c:spPr>
            <a:solidFill>
              <a:schemeClr val="accent1"/>
            </a:solidFill>
            <a:ln>
              <a:noFill/>
            </a:ln>
            <a:effectLst/>
          </c:spPr>
          <c:invertIfNegative val="0"/>
          <c:cat>
            <c:strRef>
              <c:f>Price_vs_Rating!$A$4:$A$7</c:f>
              <c:strCache>
                <c:ptCount val="3"/>
                <c:pt idx="0">
                  <c:v>High Price</c:v>
                </c:pt>
                <c:pt idx="1">
                  <c:v>Low Price</c:v>
                </c:pt>
                <c:pt idx="2">
                  <c:v>Medium Price</c:v>
                </c:pt>
              </c:strCache>
            </c:strRef>
          </c:cat>
          <c:val>
            <c:numRef>
              <c:f>Price_vs_Rating!$B$4:$B$7</c:f>
              <c:numCache>
                <c:formatCode>General</c:formatCode>
                <c:ptCount val="3"/>
                <c:pt idx="0">
                  <c:v>4.0466666666666669</c:v>
                </c:pt>
                <c:pt idx="1">
                  <c:v>3.5249999999999999</c:v>
                </c:pt>
                <c:pt idx="2">
                  <c:v>3.8380952380952387</c:v>
                </c:pt>
              </c:numCache>
            </c:numRef>
          </c:val>
          <c:extLst>
            <c:ext xmlns:c16="http://schemas.microsoft.com/office/drawing/2014/chart" uri="{C3380CC4-5D6E-409C-BE32-E72D297353CC}">
              <c16:uniqueId val="{00000000-0E33-415B-BE80-B1526578D41E}"/>
            </c:ext>
          </c:extLst>
        </c:ser>
        <c:dLbls>
          <c:showLegendKey val="0"/>
          <c:showVal val="0"/>
          <c:showCatName val="0"/>
          <c:showSerName val="0"/>
          <c:showPercent val="0"/>
          <c:showBubbleSize val="0"/>
        </c:dLbls>
        <c:gapWidth val="219"/>
        <c:overlap val="-27"/>
        <c:axId val="2094766431"/>
        <c:axId val="1224624079"/>
      </c:barChart>
      <c:catAx>
        <c:axId val="209476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24624079"/>
        <c:crosses val="autoZero"/>
        <c:auto val="1"/>
        <c:lblAlgn val="ctr"/>
        <c:lblOffset val="100"/>
        <c:noMultiLvlLbl val="0"/>
      </c:catAx>
      <c:valAx>
        <c:axId val="122462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9476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[jumia_product_dashboard.xlsx]Engagement_by_Discount!PivotTable4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by</a:t>
            </a:r>
            <a:r>
              <a:rPr lang="en-US" baseline="0"/>
              <a:t> Discount</a:t>
            </a:r>
            <a:endParaRPr lang="en-US"/>
          </a:p>
        </c:rich>
      </c:tx>
      <c:layout>
        <c:manualLayout>
          <c:xMode val="edge"/>
          <c:yMode val="edge"/>
          <c:x val="0.24510067114093959"/>
          <c:y val="0.234978692179606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Engagement_by_Discount!$B$3</c:f>
              <c:strCache>
                <c:ptCount val="1"/>
                <c:pt idx="0">
                  <c:v>Total</c:v>
                </c:pt>
              </c:strCache>
            </c:strRef>
          </c:tx>
          <c:spPr>
            <a:solidFill>
              <a:schemeClr val="accent1"/>
            </a:solidFill>
            <a:ln>
              <a:noFill/>
            </a:ln>
            <a:effectLst/>
          </c:spPr>
          <c:invertIfNegative val="0"/>
          <c:cat>
            <c:strRef>
              <c:f>Engagement_by_Discount!$A$4:$A$7</c:f>
              <c:strCache>
                <c:ptCount val="3"/>
                <c:pt idx="0">
                  <c:v>High Discount</c:v>
                </c:pt>
                <c:pt idx="1">
                  <c:v>Low Discount</c:v>
                </c:pt>
                <c:pt idx="2">
                  <c:v>Medium Discount</c:v>
                </c:pt>
              </c:strCache>
            </c:strRef>
          </c:cat>
          <c:val>
            <c:numRef>
              <c:f>Engagement_by_Discount!$B$4:$B$7</c:f>
              <c:numCache>
                <c:formatCode>General</c:formatCode>
                <c:ptCount val="3"/>
                <c:pt idx="0">
                  <c:v>259</c:v>
                </c:pt>
                <c:pt idx="1">
                  <c:v>38</c:v>
                </c:pt>
                <c:pt idx="2">
                  <c:v>296</c:v>
                </c:pt>
              </c:numCache>
            </c:numRef>
          </c:val>
          <c:extLst>
            <c:ext xmlns:c16="http://schemas.microsoft.com/office/drawing/2014/chart" uri="{C3380CC4-5D6E-409C-BE32-E72D297353CC}">
              <c16:uniqueId val="{00000000-21DB-48A8-9904-6063897A0E1D}"/>
            </c:ext>
          </c:extLst>
        </c:ser>
        <c:dLbls>
          <c:showLegendKey val="0"/>
          <c:showVal val="0"/>
          <c:showCatName val="0"/>
          <c:showSerName val="0"/>
          <c:showPercent val="0"/>
          <c:showBubbleSize val="0"/>
        </c:dLbls>
        <c:gapWidth val="182"/>
        <c:axId val="1308591263"/>
        <c:axId val="1224645199"/>
      </c:barChart>
      <c:catAx>
        <c:axId val="130859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24645199"/>
        <c:crosses val="autoZero"/>
        <c:auto val="1"/>
        <c:lblAlgn val="ctr"/>
        <c:lblOffset val="100"/>
        <c:noMultiLvlLbl val="0"/>
      </c:catAx>
      <c:valAx>
        <c:axId val="1224645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085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[jumia_product_dashboard.xlsx]Top_Products_By_Rating!PivotTable5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Products by</a:t>
            </a:r>
            <a:r>
              <a:rPr lang="en-US" baseline="0"/>
              <a:t> Rating</a:t>
            </a:r>
            <a:endParaRPr lang="en-US"/>
          </a:p>
        </c:rich>
      </c:tx>
      <c:layout>
        <c:manualLayout>
          <c:xMode val="edge"/>
          <c:yMode val="edge"/>
          <c:x val="0.31363079615048117"/>
          <c:y val="0.114766976415982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Top_Products_By_Rating!$B$3</c:f>
              <c:strCache>
                <c:ptCount val="1"/>
                <c:pt idx="0">
                  <c:v>Total</c:v>
                </c:pt>
              </c:strCache>
            </c:strRef>
          </c:tx>
          <c:spPr>
            <a:solidFill>
              <a:schemeClr val="accent1"/>
            </a:solidFill>
            <a:ln>
              <a:noFill/>
            </a:ln>
            <a:effectLst/>
          </c:spPr>
          <c:invertIfNegative val="0"/>
          <c:cat>
            <c:strRef>
              <c:f>Top_Products_By_Rating!$A$4:$A$52</c:f>
              <c:strCache>
                <c:ptCount val="48"/>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13 In 1 Home Repair Tools Box Kit Set</c:v>
                </c:pt>
                <c:pt idx="7">
                  <c:v>137 Pieces Cake Decorating Tool Set Baking Supplies</c:v>
                </c:pt>
                <c:pt idx="8">
                  <c:v>220V 60W Electric Soldering Iron Kits With Tools, Tips, And Multimeter</c:v>
                </c:pt>
                <c:pt idx="9">
                  <c:v>32PCS Portable Cordless Drill Set With Cyclic Battery Drive -26 Variable Speed</c:v>
                </c:pt>
                <c:pt idx="10">
                  <c:v>380ML USB Rechargeable Portable Small Blenders And Juicers</c:v>
                </c:pt>
                <c:pt idx="11">
                  <c:v>3D Waterproof EVA Plastic Shower Curtain 1.8*2Mtrs</c:v>
                </c:pt>
                <c:pt idx="12">
                  <c:v>3PCS Single Head Knitting Crochet Sweater Needle Set</c:v>
                </c:pt>
                <c:pt idx="13">
                  <c:v>40cm Gold DIY Acrylic Wall Sticker Clock</c:v>
                </c:pt>
                <c:pt idx="14">
                  <c:v>5 Pieces/set Of Stainless Steel Induction Cooker Pots</c:v>
                </c:pt>
                <c:pt idx="15">
                  <c:v>53 Pieces/Set Yarn Knitting Crochet Hooks With Bag - Pansies</c:v>
                </c:pt>
                <c:pt idx="16">
                  <c:v>53Pcs/Set Yarn Knitting Crochet Hooks With Bag - Fortune Cat</c:v>
                </c:pt>
                <c:pt idx="17">
                  <c:v>5-PCS Stainless Steel Cooking Pot Set With Steamed Slices</c:v>
                </c:pt>
                <c:pt idx="18">
                  <c:v>7-piece Set Of Storage Bags, Travel Storage Bags, Shoe Bags</c:v>
                </c:pt>
                <c:pt idx="19">
                  <c:v>Agapeon Toothbrush Holder And Toothpaste Dispenser</c:v>
                </c:pt>
                <c:pt idx="20">
                  <c:v>Anti-Skid Absorbent Insulation Coaster  For Home Office</c:v>
                </c:pt>
                <c:pt idx="21">
                  <c:v>Artificial Potted Flowers Room Decorative Flowers (2 Pieces)</c:v>
                </c:pt>
                <c:pt idx="22">
                  <c:v>Bedroom Simple Floor Hanging Clothes Rack Single Pole Hat Rack - White</c:v>
                </c:pt>
                <c:pt idx="23">
                  <c:v>Classic Black Cat Cotton Hemp Pillow Case For Home Car</c:v>
                </c:pt>
                <c:pt idx="24">
                  <c:v>Desk Foldable Fan Adjustable Fan Strong Wind 3 Gear Usb</c:v>
                </c:pt>
                <c:pt idx="25">
                  <c:v>DIY File Folder, Office Drawer File Holder, Pen Holder, Desktop Storage Rack</c:v>
                </c:pt>
                <c:pt idx="26">
                  <c:v>Electric LED UV Mosquito Killer Lamp, Outdoor/Indoor Fly Killer Trap Light -USB</c:v>
                </c:pt>
                <c:pt idx="27">
                  <c:v>Electronic Digital Display Vernier Caliper</c:v>
                </c:pt>
                <c:pt idx="28">
                  <c:v>Household Pineapple Peeler Peeler</c:v>
                </c:pt>
                <c:pt idx="29">
                  <c:v>Intelligent  LED Body Sensor Wireless Lighting Night Light USB</c:v>
                </c:pt>
                <c:pt idx="30">
                  <c:v>Konka Healty Electric Kettle, 24-hour Heat Preservation,1.5L,800W, White</c:v>
                </c:pt>
                <c:pt idx="31">
                  <c:v>Large Lazy Inflatable Sofa Chairs PVC Lounger Seat Bag</c:v>
                </c:pt>
                <c:pt idx="32">
                  <c:v>LASA Aluminum Folding Truck Hand Cart - 68kg Max</c:v>
                </c:pt>
                <c:pt idx="33">
                  <c:v>LASA Digital Thermometer And Hydrometer</c:v>
                </c:pt>
                <c:pt idx="34">
                  <c:v>LASA FOLDING TABLE SERVING STAND</c:v>
                </c:pt>
                <c:pt idx="35">
                  <c:v>LED Romantic Spaceship Starry Sky Projector,Children's Bedroom Night Light-Blue</c:v>
                </c:pt>
                <c:pt idx="36">
                  <c:v>LED Wall Digital Alarm Clock Study Home 12 / 24H Clock Calendar</c:v>
                </c:pt>
                <c:pt idx="37">
                  <c:v>Memory Foam Neck Pillow Cover, With Pillow Core - 50*30cm</c:v>
                </c:pt>
                <c:pt idx="38">
                  <c:v>Mythco 120COB Solar Wall Ligt With Motion Sensor And Remote Control 3 Modes</c:v>
                </c:pt>
                <c:pt idx="39">
                  <c:v>Peacock  Throw Pillow Cushion Case For Home Car</c:v>
                </c:pt>
                <c:pt idx="40">
                  <c:v>Portable Home Small Air Humidifier 3-Speed Fan - Green</c:v>
                </c:pt>
                <c:pt idx="41">
                  <c:v>Portable Mini Cordless Car Vacuum Cleaner - Blue</c:v>
                </c:pt>
                <c:pt idx="42">
                  <c:v>Portable Wardrobe Nonwoven With 3 Hanging Rods And 6 Storage Shelves</c:v>
                </c:pt>
                <c:pt idx="43">
                  <c:v>VIC Wireless Vacuum Cleaner Dual Use For Home And Car 120W High Power Powerful</c:v>
                </c:pt>
                <c:pt idx="44">
                  <c:v>Wall-mounted Sticker Punch-free Plug Fixer</c:v>
                </c:pt>
                <c:pt idx="45">
                  <c:v>Watercolour Gold Foil Textured Print Pillow Cover</c:v>
                </c:pt>
                <c:pt idx="46">
                  <c:v>Weighing Scale Digital Bathroom Body Fat Scale USB-Black</c:v>
                </c:pt>
                <c:pt idx="47">
                  <c:v>Wrought Iron Bathroom Shelf Wall Mounted Free Punch Toilet Rack</c:v>
                </c:pt>
              </c:strCache>
            </c:strRef>
          </c:cat>
          <c:val>
            <c:numRef>
              <c:f>Top_Products_By_Rating!$B$4:$B$52</c:f>
              <c:numCache>
                <c:formatCode>General</c:formatCode>
                <c:ptCount val="48"/>
                <c:pt idx="0">
                  <c:v>4.5</c:v>
                </c:pt>
                <c:pt idx="1">
                  <c:v>4.7</c:v>
                </c:pt>
                <c:pt idx="2">
                  <c:v>4.5</c:v>
                </c:pt>
                <c:pt idx="3">
                  <c:v>3.8</c:v>
                </c:pt>
                <c:pt idx="4">
                  <c:v>4.7</c:v>
                </c:pt>
                <c:pt idx="5">
                  <c:v>2.8</c:v>
                </c:pt>
                <c:pt idx="6">
                  <c:v>3.8</c:v>
                </c:pt>
                <c:pt idx="7">
                  <c:v>4.5999999999999996</c:v>
                </c:pt>
                <c:pt idx="8">
                  <c:v>4</c:v>
                </c:pt>
                <c:pt idx="9">
                  <c:v>3</c:v>
                </c:pt>
                <c:pt idx="10">
                  <c:v>2.2999999999999998</c:v>
                </c:pt>
                <c:pt idx="11">
                  <c:v>4.5999999999999996</c:v>
                </c:pt>
                <c:pt idx="12">
                  <c:v>3.3</c:v>
                </c:pt>
                <c:pt idx="13">
                  <c:v>4.8</c:v>
                </c:pt>
                <c:pt idx="14">
                  <c:v>2.5</c:v>
                </c:pt>
                <c:pt idx="15">
                  <c:v>4.5</c:v>
                </c:pt>
                <c:pt idx="16">
                  <c:v>4.7</c:v>
                </c:pt>
                <c:pt idx="17">
                  <c:v>2.1</c:v>
                </c:pt>
                <c:pt idx="18">
                  <c:v>2.2000000000000002</c:v>
                </c:pt>
                <c:pt idx="19">
                  <c:v>2.6</c:v>
                </c:pt>
                <c:pt idx="20">
                  <c:v>5</c:v>
                </c:pt>
                <c:pt idx="21">
                  <c:v>2.2000000000000002</c:v>
                </c:pt>
                <c:pt idx="22">
                  <c:v>5</c:v>
                </c:pt>
                <c:pt idx="23">
                  <c:v>5</c:v>
                </c:pt>
                <c:pt idx="24">
                  <c:v>4</c:v>
                </c:pt>
                <c:pt idx="25">
                  <c:v>5</c:v>
                </c:pt>
                <c:pt idx="26">
                  <c:v>2.1</c:v>
                </c:pt>
                <c:pt idx="27">
                  <c:v>4.5999999999999996</c:v>
                </c:pt>
                <c:pt idx="28">
                  <c:v>4</c:v>
                </c:pt>
                <c:pt idx="29">
                  <c:v>2.7</c:v>
                </c:pt>
                <c:pt idx="30">
                  <c:v>5</c:v>
                </c:pt>
                <c:pt idx="31">
                  <c:v>3</c:v>
                </c:pt>
                <c:pt idx="32">
                  <c:v>5</c:v>
                </c:pt>
                <c:pt idx="33">
                  <c:v>4.5</c:v>
                </c:pt>
                <c:pt idx="34">
                  <c:v>4.8</c:v>
                </c:pt>
                <c:pt idx="35">
                  <c:v>4</c:v>
                </c:pt>
                <c:pt idx="36">
                  <c:v>4.5999999999999996</c:v>
                </c:pt>
                <c:pt idx="37">
                  <c:v>3</c:v>
                </c:pt>
                <c:pt idx="38">
                  <c:v>3</c:v>
                </c:pt>
                <c:pt idx="39">
                  <c:v>5</c:v>
                </c:pt>
                <c:pt idx="40">
                  <c:v>4.8</c:v>
                </c:pt>
                <c:pt idx="41">
                  <c:v>4.5999999999999996</c:v>
                </c:pt>
                <c:pt idx="42">
                  <c:v>3.8</c:v>
                </c:pt>
                <c:pt idx="43">
                  <c:v>2.9</c:v>
                </c:pt>
                <c:pt idx="44">
                  <c:v>2</c:v>
                </c:pt>
                <c:pt idx="45">
                  <c:v>2.2999999999999998</c:v>
                </c:pt>
                <c:pt idx="46">
                  <c:v>4.7</c:v>
                </c:pt>
                <c:pt idx="47">
                  <c:v>3</c:v>
                </c:pt>
              </c:numCache>
            </c:numRef>
          </c:val>
          <c:extLst>
            <c:ext xmlns:c16="http://schemas.microsoft.com/office/drawing/2014/chart" uri="{C3380CC4-5D6E-409C-BE32-E72D297353CC}">
              <c16:uniqueId val="{00000000-06F8-4587-B3C1-B2752A518C6A}"/>
            </c:ext>
          </c:extLst>
        </c:ser>
        <c:dLbls>
          <c:showLegendKey val="0"/>
          <c:showVal val="0"/>
          <c:showCatName val="0"/>
          <c:showSerName val="0"/>
          <c:showPercent val="0"/>
          <c:showBubbleSize val="0"/>
        </c:dLbls>
        <c:gapWidth val="182"/>
        <c:axId val="2094765503"/>
        <c:axId val="1224650479"/>
      </c:barChart>
      <c:catAx>
        <c:axId val="2094765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24650479"/>
        <c:crosses val="autoZero"/>
        <c:auto val="1"/>
        <c:lblAlgn val="ctr"/>
        <c:lblOffset val="100"/>
        <c:noMultiLvlLbl val="0"/>
      </c:catAx>
      <c:valAx>
        <c:axId val="122465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9476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[jumia_product_dashboard.xlsx]Top_Products_By_Discount!PivotTable6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 by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Top_Products_By_Discount!$B$3</c:f>
              <c:strCache>
                <c:ptCount val="1"/>
                <c:pt idx="0">
                  <c:v>Total</c:v>
                </c:pt>
              </c:strCache>
            </c:strRef>
          </c:tx>
          <c:spPr>
            <a:solidFill>
              <a:schemeClr val="accent1"/>
            </a:solidFill>
            <a:ln>
              <a:noFill/>
            </a:ln>
            <a:effectLst/>
          </c:spPr>
          <c:invertIfNegative val="0"/>
          <c:cat>
            <c:strRef>
              <c:f>Top_Products_By_Discount!$A$4:$A$52</c:f>
              <c:strCache>
                <c:ptCount val="48"/>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13 In 1 Home Repair Tools Box Kit Set</c:v>
                </c:pt>
                <c:pt idx="7">
                  <c:v>137 Pieces Cake Decorating Tool Set Baking Supplies</c:v>
                </c:pt>
                <c:pt idx="8">
                  <c:v>220V 60W Electric Soldering Iron Kits With Tools, Tips, And Multimeter</c:v>
                </c:pt>
                <c:pt idx="9">
                  <c:v>32PCS Portable Cordless Drill Set With Cyclic Battery Drive -26 Variable Speed</c:v>
                </c:pt>
                <c:pt idx="10">
                  <c:v>380ML USB Rechargeable Portable Small Blenders And Juicers</c:v>
                </c:pt>
                <c:pt idx="11">
                  <c:v>3D Waterproof EVA Plastic Shower Curtain 1.8*2Mtrs</c:v>
                </c:pt>
                <c:pt idx="12">
                  <c:v>3PCS Single Head Knitting Crochet Sweater Needle Set</c:v>
                </c:pt>
                <c:pt idx="13">
                  <c:v>40cm Gold DIY Acrylic Wall Sticker Clock</c:v>
                </c:pt>
                <c:pt idx="14">
                  <c:v>5 Pieces/set Of Stainless Steel Induction Cooker Pots</c:v>
                </c:pt>
                <c:pt idx="15">
                  <c:v>53 Pieces/Set Yarn Knitting Crochet Hooks With Bag - Pansies</c:v>
                </c:pt>
                <c:pt idx="16">
                  <c:v>53Pcs/Set Yarn Knitting Crochet Hooks With Bag - Fortune Cat</c:v>
                </c:pt>
                <c:pt idx="17">
                  <c:v>5-PCS Stainless Steel Cooking Pot Set With Steamed Slices</c:v>
                </c:pt>
                <c:pt idx="18">
                  <c:v>7-piece Set Of Storage Bags, Travel Storage Bags, Shoe Bags</c:v>
                </c:pt>
                <c:pt idx="19">
                  <c:v>Agapeon Toothbrush Holder And Toothpaste Dispenser</c:v>
                </c:pt>
                <c:pt idx="20">
                  <c:v>Anti-Skid Absorbent Insulation Coaster  For Home Office</c:v>
                </c:pt>
                <c:pt idx="21">
                  <c:v>Artificial Potted Flowers Room Decorative Flowers (2 Pieces)</c:v>
                </c:pt>
                <c:pt idx="22">
                  <c:v>Bedroom Simple Floor Hanging Clothes Rack Single Pole Hat Rack - White</c:v>
                </c:pt>
                <c:pt idx="23">
                  <c:v>Classic Black Cat Cotton Hemp Pillow Case For Home Car</c:v>
                </c:pt>
                <c:pt idx="24">
                  <c:v>Desk Foldable Fan Adjustable Fan Strong Wind 3 Gear Usb</c:v>
                </c:pt>
                <c:pt idx="25">
                  <c:v>DIY File Folder, Office Drawer File Holder, Pen Holder, Desktop Storage Rack</c:v>
                </c:pt>
                <c:pt idx="26">
                  <c:v>Electric LED UV Mosquito Killer Lamp, Outdoor/Indoor Fly Killer Trap Light -USB</c:v>
                </c:pt>
                <c:pt idx="27">
                  <c:v>Electronic Digital Display Vernier Caliper</c:v>
                </c:pt>
                <c:pt idx="28">
                  <c:v>Household Pineapple Peeler Peeler</c:v>
                </c:pt>
                <c:pt idx="29">
                  <c:v>Intelligent  LED Body Sensor Wireless Lighting Night Light USB</c:v>
                </c:pt>
                <c:pt idx="30">
                  <c:v>Konka Healty Electric Kettle, 24-hour Heat Preservation,1.5L,800W, White</c:v>
                </c:pt>
                <c:pt idx="31">
                  <c:v>Large Lazy Inflatable Sofa Chairs PVC Lounger Seat Bag</c:v>
                </c:pt>
                <c:pt idx="32">
                  <c:v>LASA Aluminum Folding Truck Hand Cart - 68kg Max</c:v>
                </c:pt>
                <c:pt idx="33">
                  <c:v>LASA Digital Thermometer And Hydrometer</c:v>
                </c:pt>
                <c:pt idx="34">
                  <c:v>LASA FOLDING TABLE SERVING STAND</c:v>
                </c:pt>
                <c:pt idx="35">
                  <c:v>LED Romantic Spaceship Starry Sky Projector,Children's Bedroom Night Light-Blue</c:v>
                </c:pt>
                <c:pt idx="36">
                  <c:v>LED Wall Digital Alarm Clock Study Home 12 / 24H Clock Calendar</c:v>
                </c:pt>
                <c:pt idx="37">
                  <c:v>Memory Foam Neck Pillow Cover, With Pillow Core - 50*30cm</c:v>
                </c:pt>
                <c:pt idx="38">
                  <c:v>Mythco 120COB Solar Wall Ligt With Motion Sensor And Remote Control 3 Modes</c:v>
                </c:pt>
                <c:pt idx="39">
                  <c:v>Peacock  Throw Pillow Cushion Case For Home Car</c:v>
                </c:pt>
                <c:pt idx="40">
                  <c:v>Portable Home Small Air Humidifier 3-Speed Fan - Green</c:v>
                </c:pt>
                <c:pt idx="41">
                  <c:v>Portable Mini Cordless Car Vacuum Cleaner - Blue</c:v>
                </c:pt>
                <c:pt idx="42">
                  <c:v>Portable Wardrobe Nonwoven With 3 Hanging Rods And 6 Storage Shelves</c:v>
                </c:pt>
                <c:pt idx="43">
                  <c:v>VIC Wireless Vacuum Cleaner Dual Use For Home And Car 120W High Power Powerful</c:v>
                </c:pt>
                <c:pt idx="44">
                  <c:v>Wall-mounted Sticker Punch-free Plug Fixer</c:v>
                </c:pt>
                <c:pt idx="45">
                  <c:v>Watercolour Gold Foil Textured Print Pillow Cover</c:v>
                </c:pt>
                <c:pt idx="46">
                  <c:v>Weighing Scale Digital Bathroom Body Fat Scale USB-Black</c:v>
                </c:pt>
                <c:pt idx="47">
                  <c:v>Wrought Iron Bathroom Shelf Wall Mounted Free Punch Toilet Rack</c:v>
                </c:pt>
              </c:strCache>
            </c:strRef>
          </c:cat>
          <c:val>
            <c:numRef>
              <c:f>Top_Products_By_Discount!$B$4:$B$52</c:f>
              <c:numCache>
                <c:formatCode>0.00%</c:formatCode>
                <c:ptCount val="48"/>
                <c:pt idx="0">
                  <c:v>0.38</c:v>
                </c:pt>
                <c:pt idx="1">
                  <c:v>0.34</c:v>
                </c:pt>
                <c:pt idx="2">
                  <c:v>0.38</c:v>
                </c:pt>
                <c:pt idx="3">
                  <c:v>0.32</c:v>
                </c:pt>
                <c:pt idx="4">
                  <c:v>0.34</c:v>
                </c:pt>
                <c:pt idx="5">
                  <c:v>0.49</c:v>
                </c:pt>
                <c:pt idx="6">
                  <c:v>0.45</c:v>
                </c:pt>
                <c:pt idx="7">
                  <c:v>0.24</c:v>
                </c:pt>
                <c:pt idx="8">
                  <c:v>0.09</c:v>
                </c:pt>
                <c:pt idx="9">
                  <c:v>0.39</c:v>
                </c:pt>
                <c:pt idx="10">
                  <c:v>0.5</c:v>
                </c:pt>
                <c:pt idx="11">
                  <c:v>0.49</c:v>
                </c:pt>
                <c:pt idx="12">
                  <c:v>0.53</c:v>
                </c:pt>
                <c:pt idx="13">
                  <c:v>0.47</c:v>
                </c:pt>
                <c:pt idx="14">
                  <c:v>0.13</c:v>
                </c:pt>
                <c:pt idx="15">
                  <c:v>0.27</c:v>
                </c:pt>
                <c:pt idx="16">
                  <c:v>0.27</c:v>
                </c:pt>
                <c:pt idx="17">
                  <c:v>0.55000000000000004</c:v>
                </c:pt>
                <c:pt idx="18">
                  <c:v>0.47</c:v>
                </c:pt>
                <c:pt idx="19">
                  <c:v>0.45</c:v>
                </c:pt>
                <c:pt idx="20">
                  <c:v>0.51</c:v>
                </c:pt>
                <c:pt idx="21">
                  <c:v>0.45</c:v>
                </c:pt>
                <c:pt idx="22">
                  <c:v>0.49</c:v>
                </c:pt>
                <c:pt idx="23">
                  <c:v>0.53</c:v>
                </c:pt>
                <c:pt idx="24">
                  <c:v>0.37</c:v>
                </c:pt>
                <c:pt idx="25">
                  <c:v>0.4</c:v>
                </c:pt>
                <c:pt idx="26">
                  <c:v>0.47</c:v>
                </c:pt>
                <c:pt idx="27">
                  <c:v>0.35</c:v>
                </c:pt>
                <c:pt idx="28">
                  <c:v>0.49</c:v>
                </c:pt>
                <c:pt idx="29">
                  <c:v>0.52</c:v>
                </c:pt>
                <c:pt idx="30">
                  <c:v>0.21</c:v>
                </c:pt>
                <c:pt idx="31">
                  <c:v>0.28999999999999998</c:v>
                </c:pt>
                <c:pt idx="32">
                  <c:v>0.49</c:v>
                </c:pt>
                <c:pt idx="33">
                  <c:v>0.42</c:v>
                </c:pt>
                <c:pt idx="34">
                  <c:v>0.55000000000000004</c:v>
                </c:pt>
                <c:pt idx="35">
                  <c:v>0.35</c:v>
                </c:pt>
                <c:pt idx="36">
                  <c:v>0.19</c:v>
                </c:pt>
                <c:pt idx="37">
                  <c:v>0.46</c:v>
                </c:pt>
                <c:pt idx="38">
                  <c:v>0.54</c:v>
                </c:pt>
                <c:pt idx="39">
                  <c:v>0.46</c:v>
                </c:pt>
                <c:pt idx="40">
                  <c:v>0.26</c:v>
                </c:pt>
                <c:pt idx="41">
                  <c:v>0.25</c:v>
                </c:pt>
                <c:pt idx="42">
                  <c:v>0.18</c:v>
                </c:pt>
                <c:pt idx="43">
                  <c:v>0.22</c:v>
                </c:pt>
                <c:pt idx="44">
                  <c:v>0.5</c:v>
                </c:pt>
                <c:pt idx="45">
                  <c:v>0.43</c:v>
                </c:pt>
                <c:pt idx="46">
                  <c:v>0.37</c:v>
                </c:pt>
                <c:pt idx="47">
                  <c:v>0.43</c:v>
                </c:pt>
              </c:numCache>
            </c:numRef>
          </c:val>
          <c:extLst>
            <c:ext xmlns:c16="http://schemas.microsoft.com/office/drawing/2014/chart" uri="{C3380CC4-5D6E-409C-BE32-E72D297353CC}">
              <c16:uniqueId val="{00000000-F183-446D-ACE2-8B7495A33098}"/>
            </c:ext>
          </c:extLst>
        </c:ser>
        <c:dLbls>
          <c:showLegendKey val="0"/>
          <c:showVal val="0"/>
          <c:showCatName val="0"/>
          <c:showSerName val="0"/>
          <c:showPercent val="0"/>
          <c:showBubbleSize val="0"/>
        </c:dLbls>
        <c:gapWidth val="182"/>
        <c:axId val="2147143631"/>
        <c:axId val="2139920591"/>
      </c:barChart>
      <c:catAx>
        <c:axId val="214714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39920591"/>
        <c:crosses val="autoZero"/>
        <c:auto val="1"/>
        <c:lblAlgn val="ctr"/>
        <c:lblOffset val="100"/>
        <c:noMultiLvlLbl val="0"/>
      </c:catAx>
      <c:valAx>
        <c:axId val="213992059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471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[jumia_product_dashboard.xlsx]Top_Products_By_Reviews!PivotTable26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r>
              <a:rPr lang="en-US" baseline="0"/>
              <a:t> by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Top_Products_By_Reviews!$B$3</c:f>
              <c:strCache>
                <c:ptCount val="1"/>
                <c:pt idx="0">
                  <c:v>Total</c:v>
                </c:pt>
              </c:strCache>
            </c:strRef>
          </c:tx>
          <c:spPr>
            <a:solidFill>
              <a:schemeClr val="accent1"/>
            </a:solidFill>
            <a:ln>
              <a:noFill/>
            </a:ln>
            <a:effectLst/>
          </c:spPr>
          <c:invertIfNegative val="0"/>
          <c:cat>
            <c:strRef>
              <c:f>Top_Products_By_Reviews!$A$4:$A$52</c:f>
              <c:strCache>
                <c:ptCount val="48"/>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13 In 1 Home Repair Tools Box Kit Set</c:v>
                </c:pt>
                <c:pt idx="7">
                  <c:v>137 Pieces Cake Decorating Tool Set Baking Supplies</c:v>
                </c:pt>
                <c:pt idx="8">
                  <c:v>220V 60W Electric Soldering Iron Kits With Tools, Tips, And Multimeter</c:v>
                </c:pt>
                <c:pt idx="9">
                  <c:v>32PCS Portable Cordless Drill Set With Cyclic Battery Drive -26 Variable Speed</c:v>
                </c:pt>
                <c:pt idx="10">
                  <c:v>380ML USB Rechargeable Portable Small Blenders And Juicers</c:v>
                </c:pt>
                <c:pt idx="11">
                  <c:v>3D Waterproof EVA Plastic Shower Curtain 1.8*2Mtrs</c:v>
                </c:pt>
                <c:pt idx="12">
                  <c:v>3PCS Single Head Knitting Crochet Sweater Needle Set</c:v>
                </c:pt>
                <c:pt idx="13">
                  <c:v>40cm Gold DIY Acrylic Wall Sticker Clock</c:v>
                </c:pt>
                <c:pt idx="14">
                  <c:v>5 Pieces/set Of Stainless Steel Induction Cooker Pots</c:v>
                </c:pt>
                <c:pt idx="15">
                  <c:v>53 Pieces/Set Yarn Knitting Crochet Hooks With Bag - Pansies</c:v>
                </c:pt>
                <c:pt idx="16">
                  <c:v>53Pcs/Set Yarn Knitting Crochet Hooks With Bag - Fortune Cat</c:v>
                </c:pt>
                <c:pt idx="17">
                  <c:v>5-PCS Stainless Steel Cooking Pot Set With Steamed Slices</c:v>
                </c:pt>
                <c:pt idx="18">
                  <c:v>7-piece Set Of Storage Bags, Travel Storage Bags, Shoe Bags</c:v>
                </c:pt>
                <c:pt idx="19">
                  <c:v>Agapeon Toothbrush Holder And Toothpaste Dispenser</c:v>
                </c:pt>
                <c:pt idx="20">
                  <c:v>Anti-Skid Absorbent Insulation Coaster  For Home Office</c:v>
                </c:pt>
                <c:pt idx="21">
                  <c:v>Artificial Potted Flowers Room Decorative Flowers (2 Pieces)</c:v>
                </c:pt>
                <c:pt idx="22">
                  <c:v>Bedroom Simple Floor Hanging Clothes Rack Single Pole Hat Rack - White</c:v>
                </c:pt>
                <c:pt idx="23">
                  <c:v>Classic Black Cat Cotton Hemp Pillow Case For Home Car</c:v>
                </c:pt>
                <c:pt idx="24">
                  <c:v>Desk Foldable Fan Adjustable Fan Strong Wind 3 Gear Usb</c:v>
                </c:pt>
                <c:pt idx="25">
                  <c:v>DIY File Folder, Office Drawer File Holder, Pen Holder, Desktop Storage Rack</c:v>
                </c:pt>
                <c:pt idx="26">
                  <c:v>Electric LED UV Mosquito Killer Lamp, Outdoor/Indoor Fly Killer Trap Light -USB</c:v>
                </c:pt>
                <c:pt idx="27">
                  <c:v>Electronic Digital Display Vernier Caliper</c:v>
                </c:pt>
                <c:pt idx="28">
                  <c:v>Household Pineapple Peeler Peeler</c:v>
                </c:pt>
                <c:pt idx="29">
                  <c:v>Intelligent  LED Body Sensor Wireless Lighting Night Light USB</c:v>
                </c:pt>
                <c:pt idx="30">
                  <c:v>Konka Healty Electric Kettle, 24-hour Heat Preservation,1.5L,800W, White</c:v>
                </c:pt>
                <c:pt idx="31">
                  <c:v>Large Lazy Inflatable Sofa Chairs PVC Lounger Seat Bag</c:v>
                </c:pt>
                <c:pt idx="32">
                  <c:v>LASA Aluminum Folding Truck Hand Cart - 68kg Max</c:v>
                </c:pt>
                <c:pt idx="33">
                  <c:v>LASA Digital Thermometer And Hydrometer</c:v>
                </c:pt>
                <c:pt idx="34">
                  <c:v>LASA FOLDING TABLE SERVING STAND</c:v>
                </c:pt>
                <c:pt idx="35">
                  <c:v>LED Romantic Spaceship Starry Sky Projector,Children's Bedroom Night Light-Blue</c:v>
                </c:pt>
                <c:pt idx="36">
                  <c:v>LED Wall Digital Alarm Clock Study Home 12 / 24H Clock Calendar</c:v>
                </c:pt>
                <c:pt idx="37">
                  <c:v>Memory Foam Neck Pillow Cover, With Pillow Core - 50*30cm</c:v>
                </c:pt>
                <c:pt idx="38">
                  <c:v>Mythco 120COB Solar Wall Ligt With Motion Sensor And Remote Control 3 Modes</c:v>
                </c:pt>
                <c:pt idx="39">
                  <c:v>Peacock  Throw Pillow Cushion Case For Home Car</c:v>
                </c:pt>
                <c:pt idx="40">
                  <c:v>Portable Home Small Air Humidifier 3-Speed Fan - Green</c:v>
                </c:pt>
                <c:pt idx="41">
                  <c:v>Portable Mini Cordless Car Vacuum Cleaner - Blue</c:v>
                </c:pt>
                <c:pt idx="42">
                  <c:v>Portable Wardrobe Nonwoven With 3 Hanging Rods And 6 Storage Shelves</c:v>
                </c:pt>
                <c:pt idx="43">
                  <c:v>VIC Wireless Vacuum Cleaner Dual Use For Home And Car 120W High Power Powerful</c:v>
                </c:pt>
                <c:pt idx="44">
                  <c:v>Wall-mounted Sticker Punch-free Plug Fixer</c:v>
                </c:pt>
                <c:pt idx="45">
                  <c:v>Watercolour Gold Foil Textured Print Pillow Cover</c:v>
                </c:pt>
                <c:pt idx="46">
                  <c:v>Weighing Scale Digital Bathroom Body Fat Scale USB-Black</c:v>
                </c:pt>
                <c:pt idx="47">
                  <c:v>Wrought Iron Bathroom Shelf Wall Mounted Free Punch Toilet Rack</c:v>
                </c:pt>
              </c:strCache>
            </c:strRef>
          </c:cat>
          <c:val>
            <c:numRef>
              <c:f>Top_Products_By_Reviews!$B$4:$B$52</c:f>
              <c:numCache>
                <c:formatCode>General</c:formatCode>
                <c:ptCount val="48"/>
                <c:pt idx="0">
                  <c:v>2</c:v>
                </c:pt>
                <c:pt idx="1">
                  <c:v>39</c:v>
                </c:pt>
                <c:pt idx="2">
                  <c:v>2</c:v>
                </c:pt>
                <c:pt idx="3">
                  <c:v>13</c:v>
                </c:pt>
                <c:pt idx="4">
                  <c:v>12</c:v>
                </c:pt>
                <c:pt idx="5">
                  <c:v>69</c:v>
                </c:pt>
                <c:pt idx="6">
                  <c:v>5</c:v>
                </c:pt>
                <c:pt idx="7">
                  <c:v>55</c:v>
                </c:pt>
                <c:pt idx="8">
                  <c:v>15</c:v>
                </c:pt>
                <c:pt idx="9">
                  <c:v>5</c:v>
                </c:pt>
                <c:pt idx="10">
                  <c:v>7</c:v>
                </c:pt>
                <c:pt idx="11">
                  <c:v>44</c:v>
                </c:pt>
                <c:pt idx="12">
                  <c:v>13</c:v>
                </c:pt>
                <c:pt idx="13">
                  <c:v>12</c:v>
                </c:pt>
                <c:pt idx="14">
                  <c:v>6</c:v>
                </c:pt>
                <c:pt idx="15">
                  <c:v>32</c:v>
                </c:pt>
                <c:pt idx="16">
                  <c:v>20</c:v>
                </c:pt>
                <c:pt idx="17">
                  <c:v>13</c:v>
                </c:pt>
                <c:pt idx="18">
                  <c:v>6</c:v>
                </c:pt>
                <c:pt idx="19">
                  <c:v>17</c:v>
                </c:pt>
                <c:pt idx="20">
                  <c:v>2</c:v>
                </c:pt>
                <c:pt idx="21">
                  <c:v>6</c:v>
                </c:pt>
                <c:pt idx="22">
                  <c:v>1</c:v>
                </c:pt>
                <c:pt idx="23">
                  <c:v>2</c:v>
                </c:pt>
                <c:pt idx="24">
                  <c:v>2</c:v>
                </c:pt>
                <c:pt idx="25">
                  <c:v>1</c:v>
                </c:pt>
                <c:pt idx="26">
                  <c:v>7</c:v>
                </c:pt>
                <c:pt idx="27">
                  <c:v>49</c:v>
                </c:pt>
                <c:pt idx="28">
                  <c:v>1</c:v>
                </c:pt>
                <c:pt idx="29">
                  <c:v>15</c:v>
                </c:pt>
                <c:pt idx="30">
                  <c:v>1</c:v>
                </c:pt>
                <c:pt idx="31">
                  <c:v>5</c:v>
                </c:pt>
                <c:pt idx="32">
                  <c:v>3</c:v>
                </c:pt>
                <c:pt idx="33">
                  <c:v>6</c:v>
                </c:pt>
                <c:pt idx="34">
                  <c:v>5</c:v>
                </c:pt>
                <c:pt idx="35">
                  <c:v>6</c:v>
                </c:pt>
                <c:pt idx="36">
                  <c:v>5</c:v>
                </c:pt>
                <c:pt idx="37">
                  <c:v>1</c:v>
                </c:pt>
                <c:pt idx="38">
                  <c:v>10</c:v>
                </c:pt>
                <c:pt idx="39">
                  <c:v>2</c:v>
                </c:pt>
                <c:pt idx="40">
                  <c:v>5</c:v>
                </c:pt>
                <c:pt idx="41">
                  <c:v>24</c:v>
                </c:pt>
                <c:pt idx="42">
                  <c:v>12</c:v>
                </c:pt>
                <c:pt idx="43">
                  <c:v>16</c:v>
                </c:pt>
                <c:pt idx="44">
                  <c:v>1</c:v>
                </c:pt>
                <c:pt idx="45">
                  <c:v>6</c:v>
                </c:pt>
                <c:pt idx="46">
                  <c:v>7</c:v>
                </c:pt>
                <c:pt idx="47">
                  <c:v>5</c:v>
                </c:pt>
              </c:numCache>
            </c:numRef>
          </c:val>
          <c:extLst>
            <c:ext xmlns:c16="http://schemas.microsoft.com/office/drawing/2014/chart" uri="{C3380CC4-5D6E-409C-BE32-E72D297353CC}">
              <c16:uniqueId val="{00000000-F37C-4CE8-A0DC-92F6BF821720}"/>
            </c:ext>
          </c:extLst>
        </c:ser>
        <c:dLbls>
          <c:showLegendKey val="0"/>
          <c:showVal val="0"/>
          <c:showCatName val="0"/>
          <c:showSerName val="0"/>
          <c:showPercent val="0"/>
          <c:showBubbleSize val="0"/>
        </c:dLbls>
        <c:gapWidth val="182"/>
        <c:axId val="2147100943"/>
        <c:axId val="2139945551"/>
      </c:barChart>
      <c:catAx>
        <c:axId val="2147100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39945551"/>
        <c:crosses val="autoZero"/>
        <c:auto val="1"/>
        <c:lblAlgn val="l"/>
        <c:lblOffset val="100"/>
        <c:noMultiLvlLbl val="0"/>
      </c:catAx>
      <c:valAx>
        <c:axId val="213994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4710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23812</xdr:rowOff>
    </xdr:from>
    <xdr:to>
      <xdr:col>10</xdr:col>
      <xdr:colOff>304800</xdr:colOff>
      <xdr:row>15</xdr:row>
      <xdr:rowOff>100012</xdr:rowOff>
    </xdr:to>
    <xdr:graphicFrame macro="">
      <xdr:nvGraphicFramePr>
        <xdr:cNvPr id="2" name="Chart 1">
          <a:extLst>
            <a:ext uri="{FF2B5EF4-FFF2-40B4-BE49-F238E27FC236}">
              <a16:creationId xmlns:a16="http://schemas.microsoft.com/office/drawing/2014/main" id="{6E949A10-5E38-5956-C3E0-229CC58D3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38100</xdr:colOff>
      <xdr:row>1</xdr:row>
      <xdr:rowOff>0</xdr:rowOff>
    </xdr:from>
    <xdr:to>
      <xdr:col>14</xdr:col>
      <xdr:colOff>38100</xdr:colOff>
      <xdr:row>15</xdr:row>
      <xdr:rowOff>0</xdr:rowOff>
    </xdr:to>
    <mc:AlternateContent xmlns:mc="http://schemas.openxmlformats.org/markup-compatibility/2006">
      <mc:Choice xmlns:a14="http://schemas.microsoft.com/office/drawing/2010/main" Requires="a14">
        <xdr:graphicFrame macro="">
          <xdr:nvGraphicFramePr>
            <xdr:cNvPr id="3" name="Rating Category">
              <a:extLst>
                <a:ext uri="{FF2B5EF4-FFF2-40B4-BE49-F238E27FC236}">
                  <a16:creationId xmlns:a16="http://schemas.microsoft.com/office/drawing/2014/main" id="{5C07948A-92C9-665C-3E36-9B8419EDB04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7515225" y="190500"/>
              <a:ext cx="1828800" cy="26670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1</xdr:row>
      <xdr:rowOff>176212</xdr:rowOff>
    </xdr:from>
    <xdr:to>
      <xdr:col>10</xdr:col>
      <xdr:colOff>285750</xdr:colOff>
      <xdr:row>16</xdr:row>
      <xdr:rowOff>61912</xdr:rowOff>
    </xdr:to>
    <xdr:graphicFrame macro="">
      <xdr:nvGraphicFramePr>
        <xdr:cNvPr id="2" name="Chart 1">
          <a:extLst>
            <a:ext uri="{FF2B5EF4-FFF2-40B4-BE49-F238E27FC236}">
              <a16:creationId xmlns:a16="http://schemas.microsoft.com/office/drawing/2014/main" id="{104ED789-ACFE-4FFA-B638-8499C1F98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xdr:colOff>
      <xdr:row>2</xdr:row>
      <xdr:rowOff>9525</xdr:rowOff>
    </xdr:from>
    <xdr:to>
      <xdr:col>15</xdr:col>
      <xdr:colOff>9525</xdr:colOff>
      <xdr:row>16</xdr:row>
      <xdr:rowOff>9525</xdr:rowOff>
    </xdr:to>
    <mc:AlternateContent xmlns:mc="http://schemas.openxmlformats.org/markup-compatibility/2006" xmlns:a14="http://schemas.microsoft.com/office/drawing/2010/main">
      <mc:Choice Requires="a14">
        <xdr:graphicFrame macro="">
          <xdr:nvGraphicFramePr>
            <xdr:cNvPr id="3" name="Discount Category">
              <a:extLst>
                <a:ext uri="{FF2B5EF4-FFF2-40B4-BE49-F238E27FC236}">
                  <a16:creationId xmlns:a16="http://schemas.microsoft.com/office/drawing/2014/main" id="{3616B2CB-2151-0072-4992-D0648FFCDE54}"/>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8305800" y="390525"/>
              <a:ext cx="1828800" cy="26670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2</xdr:row>
      <xdr:rowOff>14287</xdr:rowOff>
    </xdr:from>
    <xdr:to>
      <xdr:col>10</xdr:col>
      <xdr:colOff>314325</xdr:colOff>
      <xdr:row>16</xdr:row>
      <xdr:rowOff>90487</xdr:rowOff>
    </xdr:to>
    <xdr:graphicFrame macro="">
      <xdr:nvGraphicFramePr>
        <xdr:cNvPr id="2" name="Chart 1">
          <a:extLst>
            <a:ext uri="{FF2B5EF4-FFF2-40B4-BE49-F238E27FC236}">
              <a16:creationId xmlns:a16="http://schemas.microsoft.com/office/drawing/2014/main" id="{6FFC30A4-93C4-830C-3CD3-E2B353238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9525</xdr:colOff>
      <xdr:row>2</xdr:row>
      <xdr:rowOff>19050</xdr:rowOff>
    </xdr:from>
    <xdr:to>
      <xdr:col>14</xdr:col>
      <xdr:colOff>9525</xdr:colOff>
      <xdr:row>16</xdr:row>
      <xdr:rowOff>19050</xdr:rowOff>
    </xdr:to>
    <mc:AlternateContent xmlns:mc="http://schemas.openxmlformats.org/markup-compatibility/2006" xmlns:a14="http://schemas.microsoft.com/office/drawing/2010/main">
      <mc:Choice Requires="a14">
        <xdr:graphicFrame macro="">
          <xdr:nvGraphicFramePr>
            <xdr:cNvPr id="3" name="Price Category">
              <a:extLst>
                <a:ext uri="{FF2B5EF4-FFF2-40B4-BE49-F238E27FC236}">
                  <a16:creationId xmlns:a16="http://schemas.microsoft.com/office/drawing/2014/main" id="{D7442AC7-886E-569A-19C3-0AC83394E4CF}"/>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7505700" y="400050"/>
              <a:ext cx="1828800" cy="26670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600075</xdr:colOff>
      <xdr:row>2</xdr:row>
      <xdr:rowOff>4762</xdr:rowOff>
    </xdr:from>
    <xdr:to>
      <xdr:col>10</xdr:col>
      <xdr:colOff>295275</xdr:colOff>
      <xdr:row>16</xdr:row>
      <xdr:rowOff>80962</xdr:rowOff>
    </xdr:to>
    <xdr:graphicFrame macro="">
      <xdr:nvGraphicFramePr>
        <xdr:cNvPr id="2" name="Chart 1">
          <a:extLst>
            <a:ext uri="{FF2B5EF4-FFF2-40B4-BE49-F238E27FC236}">
              <a16:creationId xmlns:a16="http://schemas.microsoft.com/office/drawing/2014/main" id="{1DE4BF04-06AD-6420-E2AE-F2B126DAF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590550</xdr:colOff>
      <xdr:row>2</xdr:row>
      <xdr:rowOff>9525</xdr:rowOff>
    </xdr:from>
    <xdr:to>
      <xdr:col>10</xdr:col>
      <xdr:colOff>390525</xdr:colOff>
      <xdr:row>17</xdr:row>
      <xdr:rowOff>4762</xdr:rowOff>
    </xdr:to>
    <xdr:graphicFrame macro="">
      <xdr:nvGraphicFramePr>
        <xdr:cNvPr id="2" name="Chart 1">
          <a:extLst>
            <a:ext uri="{FF2B5EF4-FFF2-40B4-BE49-F238E27FC236}">
              <a16:creationId xmlns:a16="http://schemas.microsoft.com/office/drawing/2014/main" id="{99CF5B48-158B-9F26-2F93-F55657A55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600075</xdr:colOff>
      <xdr:row>1</xdr:row>
      <xdr:rowOff>157162</xdr:rowOff>
    </xdr:from>
    <xdr:to>
      <xdr:col>10</xdr:col>
      <xdr:colOff>295275</xdr:colOff>
      <xdr:row>16</xdr:row>
      <xdr:rowOff>42862</xdr:rowOff>
    </xdr:to>
    <xdr:graphicFrame macro="">
      <xdr:nvGraphicFramePr>
        <xdr:cNvPr id="3" name="Chart 2">
          <a:extLst>
            <a:ext uri="{FF2B5EF4-FFF2-40B4-BE49-F238E27FC236}">
              <a16:creationId xmlns:a16="http://schemas.microsoft.com/office/drawing/2014/main" id="{3A7F4659-0198-7E98-DA6E-9E7D17D16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200025</xdr:colOff>
      <xdr:row>1</xdr:row>
      <xdr:rowOff>138112</xdr:rowOff>
    </xdr:from>
    <xdr:to>
      <xdr:col>9</xdr:col>
      <xdr:colOff>504825</xdr:colOff>
      <xdr:row>16</xdr:row>
      <xdr:rowOff>23812</xdr:rowOff>
    </xdr:to>
    <xdr:graphicFrame macro="">
      <xdr:nvGraphicFramePr>
        <xdr:cNvPr id="3" name="Chart 2">
          <a:extLst>
            <a:ext uri="{FF2B5EF4-FFF2-40B4-BE49-F238E27FC236}">
              <a16:creationId xmlns:a16="http://schemas.microsoft.com/office/drawing/2014/main" id="{EDD5D0FD-BB65-50E9-EB86-199225D63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17</xdr:col>
      <xdr:colOff>390524</xdr:colOff>
      <xdr:row>6</xdr:row>
      <xdr:rowOff>171449</xdr:rowOff>
    </xdr:from>
    <xdr:to>
      <xdr:col>28</xdr:col>
      <xdr:colOff>76199</xdr:colOff>
      <xdr:row>21</xdr:row>
      <xdr:rowOff>104774</xdr:rowOff>
    </xdr:to>
    <xdr:graphicFrame macro="">
      <xdr:nvGraphicFramePr>
        <xdr:cNvPr id="2" name="Chart 1">
          <a:extLst>
            <a:ext uri="{FF2B5EF4-FFF2-40B4-BE49-F238E27FC236}">
              <a16:creationId xmlns:a16="http://schemas.microsoft.com/office/drawing/2014/main" id="{B552424C-7783-4A98-B75C-8AF410709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419099</xdr:colOff>
      <xdr:row>22</xdr:row>
      <xdr:rowOff>85725</xdr:rowOff>
    </xdr:from>
    <xdr:to>
      <xdr:col>28</xdr:col>
      <xdr:colOff>123824</xdr:colOff>
      <xdr:row>38</xdr:row>
      <xdr:rowOff>180975</xdr:rowOff>
    </xdr:to>
    <xdr:graphicFrame macro="">
      <xdr:nvGraphicFramePr>
        <xdr:cNvPr id="4" name="Chart 3">
          <a:extLst>
            <a:ext uri="{FF2B5EF4-FFF2-40B4-BE49-F238E27FC236}">
              <a16:creationId xmlns:a16="http://schemas.microsoft.com/office/drawing/2014/main" id="{68BD3E26-B194-4B18-B4DE-CAFB74B13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428624</xdr:colOff>
      <xdr:row>39</xdr:row>
      <xdr:rowOff>152400</xdr:rowOff>
    </xdr:from>
    <xdr:to>
      <xdr:col>28</xdr:col>
      <xdr:colOff>161925</xdr:colOff>
      <xdr:row>56</xdr:row>
      <xdr:rowOff>9525</xdr:rowOff>
    </xdr:to>
    <xdr:graphicFrame macro="">
      <xdr:nvGraphicFramePr>
        <xdr:cNvPr id="3" name="Chart 2">
          <a:extLst>
            <a:ext uri="{FF2B5EF4-FFF2-40B4-BE49-F238E27FC236}">
              <a16:creationId xmlns:a16="http://schemas.microsoft.com/office/drawing/2014/main" id="{2E7CB553-364B-4052-AC4F-EA0385CBD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76199</xdr:colOff>
      <xdr:row>6</xdr:row>
      <xdr:rowOff>161925</xdr:rowOff>
    </xdr:from>
    <xdr:to>
      <xdr:col>9</xdr:col>
      <xdr:colOff>219074</xdr:colOff>
      <xdr:row>18</xdr:row>
      <xdr:rowOff>57149</xdr:rowOff>
    </xdr:to>
    <xdr:graphicFrame macro="">
      <xdr:nvGraphicFramePr>
        <xdr:cNvPr id="6" name="Chart 5">
          <a:extLst>
            <a:ext uri="{FF2B5EF4-FFF2-40B4-BE49-F238E27FC236}">
              <a16:creationId xmlns:a16="http://schemas.microsoft.com/office/drawing/2014/main" id="{730E4E36-C9A3-47BE-B8DA-3B3457C8E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571500</xdr:colOff>
      <xdr:row>6</xdr:row>
      <xdr:rowOff>185738</xdr:rowOff>
    </xdr:from>
    <xdr:to>
      <xdr:col>3</xdr:col>
      <xdr:colOff>571500</xdr:colOff>
      <xdr:row>16</xdr:row>
      <xdr:rowOff>104775</xdr:rowOff>
    </xdr:to>
    <mc:AlternateContent xmlns:mc="http://schemas.openxmlformats.org/markup-compatibility/2006" xmlns:a14="http://schemas.microsoft.com/office/drawing/2010/main">
      <mc:Choice Requires="a14">
        <xdr:graphicFrame macro="">
          <xdr:nvGraphicFramePr>
            <xdr:cNvPr id="7" name="Rating Category 1">
              <a:extLst>
                <a:ext uri="{FF2B5EF4-FFF2-40B4-BE49-F238E27FC236}">
                  <a16:creationId xmlns:a16="http://schemas.microsoft.com/office/drawing/2014/main" id="{7AAFEB06-A6D1-4446-BDBD-802E1F2EAADE}"/>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571500" y="1328738"/>
              <a:ext cx="1828800" cy="182403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xdr:colOff>
      <xdr:row>18</xdr:row>
      <xdr:rowOff>123825</xdr:rowOff>
    </xdr:from>
    <xdr:to>
      <xdr:col>9</xdr:col>
      <xdr:colOff>266700</xdr:colOff>
      <xdr:row>29</xdr:row>
      <xdr:rowOff>76200</xdr:rowOff>
    </xdr:to>
    <xdr:graphicFrame macro="">
      <xdr:nvGraphicFramePr>
        <xdr:cNvPr id="8" name="Chart 7">
          <a:extLst>
            <a:ext uri="{FF2B5EF4-FFF2-40B4-BE49-F238E27FC236}">
              <a16:creationId xmlns:a16="http://schemas.microsoft.com/office/drawing/2014/main" id="{E744EC46-F59B-4C15-9340-C42A7AA93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542925</xdr:colOff>
      <xdr:row>17</xdr:row>
      <xdr:rowOff>14288</xdr:rowOff>
    </xdr:from>
    <xdr:to>
      <xdr:col>3</xdr:col>
      <xdr:colOff>542925</xdr:colOff>
      <xdr:row>23</xdr:row>
      <xdr:rowOff>152400</xdr:rowOff>
    </xdr:to>
    <mc:AlternateContent xmlns:mc="http://schemas.openxmlformats.org/markup-compatibility/2006" xmlns:a14="http://schemas.microsoft.com/office/drawing/2010/main">
      <mc:Choice Requires="a14">
        <xdr:graphicFrame macro="">
          <xdr:nvGraphicFramePr>
            <xdr:cNvPr id="9" name="Discount Category 1">
              <a:extLst>
                <a:ext uri="{FF2B5EF4-FFF2-40B4-BE49-F238E27FC236}">
                  <a16:creationId xmlns:a16="http://schemas.microsoft.com/office/drawing/2014/main" id="{AE4F70BF-E655-4ADC-A9C6-BD02FE7418E8}"/>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542925" y="3252788"/>
              <a:ext cx="1828800" cy="128111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390525</xdr:colOff>
      <xdr:row>6</xdr:row>
      <xdr:rowOff>152400</xdr:rowOff>
    </xdr:from>
    <xdr:to>
      <xdr:col>15</xdr:col>
      <xdr:colOff>228600</xdr:colOff>
      <xdr:row>18</xdr:row>
      <xdr:rowOff>28575</xdr:rowOff>
    </xdr:to>
    <xdr:graphicFrame macro="">
      <xdr:nvGraphicFramePr>
        <xdr:cNvPr id="10" name="Chart 9">
          <a:extLst>
            <a:ext uri="{FF2B5EF4-FFF2-40B4-BE49-F238E27FC236}">
              <a16:creationId xmlns:a16="http://schemas.microsoft.com/office/drawing/2014/main" id="{2DCB1D58-D502-47A8-8410-A2EB53F49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552450</xdr:colOff>
      <xdr:row>24</xdr:row>
      <xdr:rowOff>61913</xdr:rowOff>
    </xdr:from>
    <xdr:to>
      <xdr:col>3</xdr:col>
      <xdr:colOff>552450</xdr:colOff>
      <xdr:row>30</xdr:row>
      <xdr:rowOff>152400</xdr:rowOff>
    </xdr:to>
    <mc:AlternateContent xmlns:mc="http://schemas.openxmlformats.org/markup-compatibility/2006" xmlns:a14="http://schemas.microsoft.com/office/drawing/2010/main">
      <mc:Choice Requires="a14">
        <xdr:graphicFrame macro="">
          <xdr:nvGraphicFramePr>
            <xdr:cNvPr id="11" name="Price Category 1">
              <a:extLst>
                <a:ext uri="{FF2B5EF4-FFF2-40B4-BE49-F238E27FC236}">
                  <a16:creationId xmlns:a16="http://schemas.microsoft.com/office/drawing/2014/main" id="{31017A71-2952-4A17-A1A9-F08792C80394}"/>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mlns="">
        <xdr:sp macro="" textlink="">
          <xdr:nvSpPr>
            <xdr:cNvPr id="0" name=""/>
            <xdr:cNvSpPr>
              <a:spLocks noTextEdit="1"/>
            </xdr:cNvSpPr>
          </xdr:nvSpPr>
          <xdr:spPr>
            <a:xfrm>
              <a:off x="552450" y="4633913"/>
              <a:ext cx="1828800" cy="123348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371474</xdr:colOff>
      <xdr:row>18</xdr:row>
      <xdr:rowOff>95249</xdr:rowOff>
    </xdr:from>
    <xdr:to>
      <xdr:col>16</xdr:col>
      <xdr:colOff>304799</xdr:colOff>
      <xdr:row>29</xdr:row>
      <xdr:rowOff>57150</xdr:rowOff>
    </xdr:to>
    <xdr:graphicFrame macro="">
      <xdr:nvGraphicFramePr>
        <xdr:cNvPr id="12" name="Chart 11">
          <a:extLst>
            <a:ext uri="{FF2B5EF4-FFF2-40B4-BE49-F238E27FC236}">
              <a16:creationId xmlns:a16="http://schemas.microsoft.com/office/drawing/2014/main" id="{55D7DF23-0927-404A-9A5F-78BF19B0D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57149</xdr:colOff>
      <xdr:row>31</xdr:row>
      <xdr:rowOff>19050</xdr:rowOff>
    </xdr:from>
    <xdr:to>
      <xdr:col>8</xdr:col>
      <xdr:colOff>200024</xdr:colOff>
      <xdr:row>47</xdr:row>
      <xdr:rowOff>95250</xdr:rowOff>
    </xdr:to>
    <xdr:graphicFrame macro="">
      <xdr:nvGraphicFramePr>
        <xdr:cNvPr id="13" name="Chart 12">
          <a:extLst>
            <a:ext uri="{FF2B5EF4-FFF2-40B4-BE49-F238E27FC236}">
              <a16:creationId xmlns:a16="http://schemas.microsoft.com/office/drawing/2014/main" id="{0CD20A88-A65B-4C2A-BAA9-47F847341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295274</xdr:colOff>
      <xdr:row>31</xdr:row>
      <xdr:rowOff>19049</xdr:rowOff>
    </xdr:from>
    <xdr:to>
      <xdr:col>17</xdr:col>
      <xdr:colOff>314325</xdr:colOff>
      <xdr:row>47</xdr:row>
      <xdr:rowOff>85724</xdr:rowOff>
    </xdr:to>
    <xdr:graphicFrame macro="">
      <xdr:nvGraphicFramePr>
        <xdr:cNvPr id="14" name="Chart 13">
          <a:extLst>
            <a:ext uri="{FF2B5EF4-FFF2-40B4-BE49-F238E27FC236}">
              <a16:creationId xmlns:a16="http://schemas.microsoft.com/office/drawing/2014/main" id="{B50FF495-B640-4A09-AF3C-84190A10C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57150</xdr:colOff>
      <xdr:row>48</xdr:row>
      <xdr:rowOff>28575</xdr:rowOff>
    </xdr:from>
    <xdr:to>
      <xdr:col>13</xdr:col>
      <xdr:colOff>76200</xdr:colOff>
      <xdr:row>62</xdr:row>
      <xdr:rowOff>104775</xdr:rowOff>
    </xdr:to>
    <xdr:graphicFrame macro="">
      <xdr:nvGraphicFramePr>
        <xdr:cNvPr id="15" name="Chart 14">
          <a:extLst>
            <a:ext uri="{FF2B5EF4-FFF2-40B4-BE49-F238E27FC236}">
              <a16:creationId xmlns:a16="http://schemas.microsoft.com/office/drawing/2014/main" id="{FE903997-C2D2-42A6-A719-6F3EA9250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57150</xdr:colOff>
      <xdr:row>3</xdr:row>
      <xdr:rowOff>19050</xdr:rowOff>
    </xdr:from>
    <xdr:to>
      <xdr:col>3</xdr:col>
      <xdr:colOff>457200</xdr:colOff>
      <xdr:row>5</xdr:row>
      <xdr:rowOff>161925</xdr:rowOff>
    </xdr:to>
    <xdr:sp macro="" textlink="">
      <xdr:nvSpPr>
        <xdr:cNvPr id="16" name="Rectangle: Rounded Corners 15">
          <a:extLst>
            <a:ext uri="{FF2B5EF4-FFF2-40B4-BE49-F238E27FC236}">
              <a16:creationId xmlns:a16="http://schemas.microsoft.com/office/drawing/2014/main" id="{EF5453F2-31B7-DAD4-B79A-718C05CDD0C0}"/>
            </a:ext>
          </a:extLst>
        </xdr:cNvPr>
        <xdr:cNvSpPr/>
      </xdr:nvSpPr>
      <xdr:spPr>
        <a:xfrm>
          <a:off x="666750" y="590550"/>
          <a:ext cx="1619250" cy="5238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200" b="1"/>
            <a:t>Total Products: </a:t>
          </a:r>
        </a:p>
        <a:p>
          <a:pPr algn="ctr"/>
          <a:r>
            <a:rPr lang="en-KE" sz="1200" b="1" i="0" u="none" strike="noStrike">
              <a:solidFill>
                <a:schemeClr val="dk1"/>
              </a:solidFill>
              <a:effectLst/>
              <a:latin typeface="+mn-lt"/>
              <a:ea typeface="+mn-ea"/>
              <a:cs typeface="+mn-cs"/>
            </a:rPr>
            <a:t>112</a:t>
          </a:r>
          <a:r>
            <a:rPr lang="en-KE" sz="1200" b="1">
              <a:effectLst/>
            </a:rPr>
            <a:t> </a:t>
          </a:r>
          <a:endParaRPr lang="en-KE" sz="1200" b="1"/>
        </a:p>
      </xdr:txBody>
    </xdr:sp>
    <xdr:clientData/>
  </xdr:twoCellAnchor>
  <xdr:twoCellAnchor>
    <xdr:from>
      <xdr:col>3</xdr:col>
      <xdr:colOff>581025</xdr:colOff>
      <xdr:row>3</xdr:row>
      <xdr:rowOff>28575</xdr:rowOff>
    </xdr:from>
    <xdr:to>
      <xdr:col>6</xdr:col>
      <xdr:colOff>371475</xdr:colOff>
      <xdr:row>5</xdr:row>
      <xdr:rowOff>171450</xdr:rowOff>
    </xdr:to>
    <xdr:sp macro="" textlink="">
      <xdr:nvSpPr>
        <xdr:cNvPr id="17" name="Rectangle: Rounded Corners 16">
          <a:extLst>
            <a:ext uri="{FF2B5EF4-FFF2-40B4-BE49-F238E27FC236}">
              <a16:creationId xmlns:a16="http://schemas.microsoft.com/office/drawing/2014/main" id="{AFE1BBE2-A3BB-7411-7FE9-C216FFE44245}"/>
            </a:ext>
          </a:extLst>
        </xdr:cNvPr>
        <xdr:cNvSpPr/>
      </xdr:nvSpPr>
      <xdr:spPr>
        <a:xfrm>
          <a:off x="2409825" y="600075"/>
          <a:ext cx="1619250" cy="5238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200" b="1"/>
            <a:t>Average Current</a:t>
          </a:r>
          <a:r>
            <a:rPr lang="en-US" sz="1200" b="1" baseline="0"/>
            <a:t> Price</a:t>
          </a:r>
          <a:r>
            <a:rPr lang="en-US" sz="1200" b="1"/>
            <a:t>:</a:t>
          </a:r>
        </a:p>
        <a:p>
          <a:pPr algn="ctr"/>
          <a:r>
            <a:rPr lang="en-KE" sz="1200" b="1" i="0" u="none" strike="noStrike">
              <a:solidFill>
                <a:schemeClr val="dk1"/>
              </a:solidFill>
              <a:effectLst/>
              <a:latin typeface="+mn-lt"/>
              <a:ea typeface="+mn-ea"/>
              <a:cs typeface="+mn-cs"/>
            </a:rPr>
            <a:t>Ksh1,186.89</a:t>
          </a:r>
          <a:r>
            <a:rPr lang="en-KE" sz="1200" b="1">
              <a:effectLst/>
            </a:rPr>
            <a:t> </a:t>
          </a:r>
          <a:r>
            <a:rPr lang="en-US" sz="1200" b="1"/>
            <a:t> </a:t>
          </a:r>
          <a:endParaRPr lang="en-KE" sz="1200" b="1"/>
        </a:p>
      </xdr:txBody>
    </xdr:sp>
    <xdr:clientData/>
  </xdr:twoCellAnchor>
  <xdr:twoCellAnchor>
    <xdr:from>
      <xdr:col>6</xdr:col>
      <xdr:colOff>542925</xdr:colOff>
      <xdr:row>3</xdr:row>
      <xdr:rowOff>19050</xdr:rowOff>
    </xdr:from>
    <xdr:to>
      <xdr:col>9</xdr:col>
      <xdr:colOff>333375</xdr:colOff>
      <xdr:row>5</xdr:row>
      <xdr:rowOff>161925</xdr:rowOff>
    </xdr:to>
    <xdr:sp macro="" textlink="">
      <xdr:nvSpPr>
        <xdr:cNvPr id="18" name="Rectangle: Rounded Corners 17">
          <a:extLst>
            <a:ext uri="{FF2B5EF4-FFF2-40B4-BE49-F238E27FC236}">
              <a16:creationId xmlns:a16="http://schemas.microsoft.com/office/drawing/2014/main" id="{026AA679-089F-F608-5CD9-F1B4FEB23C5C}"/>
            </a:ext>
          </a:extLst>
        </xdr:cNvPr>
        <xdr:cNvSpPr/>
      </xdr:nvSpPr>
      <xdr:spPr>
        <a:xfrm>
          <a:off x="4200525" y="590550"/>
          <a:ext cx="1619250" cy="5238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200" b="1"/>
            <a:t>Average</a:t>
          </a:r>
          <a:r>
            <a:rPr lang="en-US" sz="1200" b="1" baseline="0"/>
            <a:t> Discount</a:t>
          </a:r>
          <a:r>
            <a:rPr lang="en-US" sz="1200" b="1"/>
            <a:t>: </a:t>
          </a:r>
          <a:r>
            <a:rPr lang="en-KE" sz="1200" b="1" i="0" u="none" strike="noStrike">
              <a:solidFill>
                <a:schemeClr val="dk1"/>
              </a:solidFill>
              <a:effectLst/>
              <a:latin typeface="+mn-lt"/>
              <a:ea typeface="+mn-ea"/>
              <a:cs typeface="+mn-cs"/>
            </a:rPr>
            <a:t>36.78%</a:t>
          </a:r>
          <a:r>
            <a:rPr lang="en-KE" sz="1200" b="1">
              <a:effectLst/>
            </a:rPr>
            <a:t> </a:t>
          </a:r>
          <a:endParaRPr lang="en-KE" sz="1200" b="1"/>
        </a:p>
      </xdr:txBody>
    </xdr:sp>
    <xdr:clientData/>
  </xdr:twoCellAnchor>
  <xdr:twoCellAnchor>
    <xdr:from>
      <xdr:col>9</xdr:col>
      <xdr:colOff>590550</xdr:colOff>
      <xdr:row>3</xdr:row>
      <xdr:rowOff>0</xdr:rowOff>
    </xdr:from>
    <xdr:to>
      <xdr:col>12</xdr:col>
      <xdr:colOff>381000</xdr:colOff>
      <xdr:row>5</xdr:row>
      <xdr:rowOff>142875</xdr:rowOff>
    </xdr:to>
    <xdr:sp macro="" textlink="">
      <xdr:nvSpPr>
        <xdr:cNvPr id="19" name="Rectangle: Rounded Corners 18">
          <a:extLst>
            <a:ext uri="{FF2B5EF4-FFF2-40B4-BE49-F238E27FC236}">
              <a16:creationId xmlns:a16="http://schemas.microsoft.com/office/drawing/2014/main" id="{BC1873CE-0469-F469-255B-753CC363F5AC}"/>
            </a:ext>
          </a:extLst>
        </xdr:cNvPr>
        <xdr:cNvSpPr/>
      </xdr:nvSpPr>
      <xdr:spPr>
        <a:xfrm>
          <a:off x="6076950" y="571500"/>
          <a:ext cx="1619250" cy="5238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200" b="1"/>
            <a:t>Average</a:t>
          </a:r>
          <a:r>
            <a:rPr lang="en-US" sz="1200" b="1" baseline="0"/>
            <a:t> Product Rating</a:t>
          </a:r>
          <a:r>
            <a:rPr lang="en-US" sz="1200" b="1"/>
            <a:t>: </a:t>
          </a:r>
          <a:r>
            <a:rPr lang="en-KE" sz="1200" b="1" i="0" u="none" strike="noStrike">
              <a:solidFill>
                <a:schemeClr val="dk1"/>
              </a:solidFill>
              <a:effectLst/>
              <a:latin typeface="+mn-lt"/>
              <a:ea typeface="+mn-ea"/>
              <a:cs typeface="+mn-cs"/>
            </a:rPr>
            <a:t>3.89</a:t>
          </a:r>
          <a:r>
            <a:rPr lang="en-KE" sz="1200" b="1">
              <a:effectLst/>
            </a:rPr>
            <a:t> </a:t>
          </a:r>
          <a:endParaRPr lang="en-KE" sz="1200" b="1"/>
        </a:p>
      </xdr:txBody>
    </xdr:sp>
    <xdr:clientData/>
  </xdr:twoCellAnchor>
  <xdr:twoCellAnchor>
    <xdr:from>
      <xdr:col>13</xdr:col>
      <xdr:colOff>47625</xdr:colOff>
      <xdr:row>3</xdr:row>
      <xdr:rowOff>9525</xdr:rowOff>
    </xdr:from>
    <xdr:to>
      <xdr:col>15</xdr:col>
      <xdr:colOff>542925</xdr:colOff>
      <xdr:row>5</xdr:row>
      <xdr:rowOff>152400</xdr:rowOff>
    </xdr:to>
    <xdr:sp macro="" textlink="">
      <xdr:nvSpPr>
        <xdr:cNvPr id="20" name="Rectangle: Rounded Corners 19">
          <a:extLst>
            <a:ext uri="{FF2B5EF4-FFF2-40B4-BE49-F238E27FC236}">
              <a16:creationId xmlns:a16="http://schemas.microsoft.com/office/drawing/2014/main" id="{41FF3D3F-D633-0A3B-044F-E68B10E34B5A}"/>
            </a:ext>
          </a:extLst>
        </xdr:cNvPr>
        <xdr:cNvSpPr/>
      </xdr:nvSpPr>
      <xdr:spPr>
        <a:xfrm>
          <a:off x="7972425" y="581025"/>
          <a:ext cx="1714500" cy="5238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200" b="1"/>
            <a:t>Total</a:t>
          </a:r>
          <a:r>
            <a:rPr lang="en-US" sz="1200" b="1" baseline="0"/>
            <a:t> Number of </a:t>
          </a:r>
          <a:r>
            <a:rPr lang="en-US" sz="1200" b="1"/>
            <a:t>Reviews: </a:t>
          </a:r>
          <a:r>
            <a:rPr lang="en-KE" sz="1200" b="1" i="0" u="none" strike="noStrike">
              <a:solidFill>
                <a:schemeClr val="dk1"/>
              </a:solidFill>
              <a:effectLst/>
              <a:latin typeface="+mn-lt"/>
              <a:ea typeface="+mn-ea"/>
              <a:cs typeface="+mn-cs"/>
            </a:rPr>
            <a:t>723</a:t>
          </a:r>
          <a:r>
            <a:rPr lang="en-KE" sz="1200" b="1">
              <a:effectLst/>
            </a:rPr>
            <a:t> </a:t>
          </a:r>
          <a:endParaRPr lang="en-KE" sz="1200" b="1"/>
        </a:p>
      </xdr:txBody>
    </xdr:sp>
    <xdr:clientData/>
  </xdr:twoCellAnchor>
  <xdr:twoCellAnchor>
    <xdr:from>
      <xdr:col>0</xdr:col>
      <xdr:colOff>409575</xdr:colOff>
      <xdr:row>63</xdr:row>
      <xdr:rowOff>114300</xdr:rowOff>
    </xdr:from>
    <xdr:to>
      <xdr:col>13</xdr:col>
      <xdr:colOff>142875</xdr:colOff>
      <xdr:row>78</xdr:row>
      <xdr:rowOff>123825</xdr:rowOff>
    </xdr:to>
    <xdr:sp macro="" textlink="">
      <xdr:nvSpPr>
        <xdr:cNvPr id="21" name="Rectangle: Rounded Corners 20">
          <a:extLst>
            <a:ext uri="{FF2B5EF4-FFF2-40B4-BE49-F238E27FC236}">
              <a16:creationId xmlns:a16="http://schemas.microsoft.com/office/drawing/2014/main" id="{7345D1D4-725A-C032-A8C3-B327372A96C9}"/>
            </a:ext>
          </a:extLst>
        </xdr:cNvPr>
        <xdr:cNvSpPr/>
      </xdr:nvSpPr>
      <xdr:spPr>
        <a:xfrm>
          <a:off x="409575" y="12115800"/>
          <a:ext cx="7658100" cy="28670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800" b="1"/>
            <a:t>Business</a:t>
          </a:r>
          <a:r>
            <a:rPr lang="en-US" sz="2800" b="1" baseline="0"/>
            <a:t> Insights</a:t>
          </a:r>
        </a:p>
        <a:p>
          <a:pPr algn="l"/>
          <a:r>
            <a:rPr lang="en-US" sz="1400" b="1"/>
            <a:t>1.</a:t>
          </a:r>
          <a:r>
            <a:rPr lang="en-US" sz="1400" b="1" baseline="0"/>
            <a:t> </a:t>
          </a:r>
          <a:r>
            <a:rPr lang="en-US" sz="1400" b="1"/>
            <a:t>Discounting</a:t>
          </a:r>
          <a:r>
            <a:rPr lang="en-US" sz="1400" b="1" baseline="0"/>
            <a:t> isn't a buying engagement - </a:t>
          </a:r>
          <a:r>
            <a:rPr lang="en-US" sz="1400" b="0" baseline="0"/>
            <a:t>Discount and review count have a weak negative correlation (r=-0.14). Sellers should not assume that cuttng prices will pull in more reviews.</a:t>
          </a:r>
        </a:p>
        <a:p>
          <a:pPr algn="l"/>
          <a:r>
            <a:rPr lang="en-US" sz="1400" b="1" baseline="0"/>
            <a:t>2. Review volume doesn't signal quality - </a:t>
          </a:r>
          <a:r>
            <a:rPr lang="en-US" sz="1400" b="0" baseline="0"/>
            <a:t>Rating and review count are uncorrelated (r=0.057). A product can be excellent and still get almost no engagement.</a:t>
          </a:r>
          <a:endParaRPr lang="en-US" sz="1400" b="1" baseline="0"/>
        </a:p>
        <a:p>
          <a:pPr algn="l"/>
          <a:r>
            <a:rPr lang="en-US" sz="1400" b="1"/>
            <a:t>3.</a:t>
          </a:r>
          <a:r>
            <a:rPr lang="en-US" sz="1400" b="1" baseline="0"/>
            <a:t> Price does not signal quality - </a:t>
          </a:r>
          <a:r>
            <a:rPr lang="en-US" sz="1400" b="0" baseline="0"/>
            <a:t>Current price and Rating have a weak positive correlation (r=0.11). Higher-priced items aren't better-rated, suggesting that price cannot be realiably used to show the rating on products.</a:t>
          </a:r>
        </a:p>
        <a:p>
          <a:pPr algn="l"/>
          <a:r>
            <a:rPr lang="en-US" sz="1400" b="1" baseline="0"/>
            <a:t>4. Roughly half the catalog has no engagement signal at all - </a:t>
          </a:r>
          <a:r>
            <a:rPr lang="en-US" sz="1400" b="0" baseline="0"/>
            <a:t>Only 57 of 112 products have any recorded review, and a similar share have no rating. It is suggested that users are prompted for reviews immediately after purchase.</a:t>
          </a:r>
          <a:endParaRPr lang="en-KE" sz="1400" b="1"/>
        </a:p>
      </xdr:txBody>
    </xdr:sp>
    <xdr:clientData/>
  </xdr:twoCellAnchor>
  <xdr:twoCellAnchor>
    <xdr:from>
      <xdr:col>1</xdr:col>
      <xdr:colOff>28574</xdr:colOff>
      <xdr:row>0</xdr:row>
      <xdr:rowOff>66675</xdr:rowOff>
    </xdr:from>
    <xdr:to>
      <xdr:col>24</xdr:col>
      <xdr:colOff>304799</xdr:colOff>
      <xdr:row>2</xdr:row>
      <xdr:rowOff>142875</xdr:rowOff>
    </xdr:to>
    <xdr:sp macro="" textlink="">
      <xdr:nvSpPr>
        <xdr:cNvPr id="5" name="Rectangle: Rounded Corners 4">
          <a:extLst>
            <a:ext uri="{FF2B5EF4-FFF2-40B4-BE49-F238E27FC236}">
              <a16:creationId xmlns:a16="http://schemas.microsoft.com/office/drawing/2014/main" id="{C44F0829-B339-19A1-E1A9-66F5AC6E2BF2}"/>
            </a:ext>
          </a:extLst>
        </xdr:cNvPr>
        <xdr:cNvSpPr/>
      </xdr:nvSpPr>
      <xdr:spPr>
        <a:xfrm>
          <a:off x="638174" y="66675"/>
          <a:ext cx="14297025" cy="4572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t>Jumia</a:t>
          </a:r>
          <a:r>
            <a:rPr lang="en-US" sz="2800" b="1" baseline="0"/>
            <a:t> Pricing &amp; Engagement Insights Dashboard</a:t>
          </a:r>
          <a:endParaRPr lang="en-KE" sz="28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charia" refreshedDate="46270.558723726848" createdVersion="8" refreshedVersion="8" minRefreshableVersion="3" recordCount="112" xr:uid="{68AAAC20-78CF-4A94-BF3F-DF9FAA85451C}">
  <cacheSource type="worksheet">
    <worksheetSource name="tblProducts"/>
  </cacheSource>
  <cacheFields count="14">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2">
      <sharedItems containsSemiMixedTypes="0" containsString="0" containsNumber="1" containsInteger="1" minValue="38" maxValue="3750"/>
    </cacheField>
    <cacheField name="Old Price" numFmtId="2">
      <sharedItems containsSemiMixedTypes="0" containsString="0" containsNumber="1" containsInteger="1" minValue="80" maxValue="6143"/>
    </cacheField>
    <cacheField name="Discount" numFmtId="10">
      <sharedItems containsSemiMixedTypes="0" containsString="0" containsNumber="1" minValue="0.01" maxValue="0.64"/>
    </cacheField>
    <cacheField name="Review" numFmtId="1">
      <sharedItems containsString="0" containsBlank="1" containsNumber="1" containsInteger="1" minValue="1" maxValue="69"/>
    </cacheField>
    <cacheField name="Rating" numFmtId="164">
      <sharedItems containsString="0" containsBlank="1" containsNumber="1" minValue="2" maxValue="5"/>
    </cacheField>
    <cacheField name="Rating Status" numFmtId="0">
      <sharedItems/>
    </cacheField>
    <cacheField name="Discount Amount" numFmtId="2">
      <sharedItems containsSemiMixedTypes="0" containsString="0" containsNumber="1" containsInteger="1" minValue="24" maxValue="2585"/>
    </cacheField>
    <cacheField name="Rating Category" numFmtId="0">
      <sharedItems count="5">
        <s v="Excellent"/>
        <s v="Unclassified"/>
        <s v="Average"/>
        <s v="Rating not provided"/>
        <s v="Poor"/>
      </sharedItems>
    </cacheField>
    <cacheField name="Discount Status" numFmtId="0">
      <sharedItems/>
    </cacheField>
    <cacheField name="Discount Category" numFmtId="0">
      <sharedItems count="3">
        <s v="Medium Discount"/>
        <s v="High Discount"/>
        <s v="Low Discount"/>
      </sharedItems>
    </cacheField>
    <cacheField name="Price Category" numFmtId="0">
      <sharedItems count="3">
        <s v="Medium Price"/>
        <s v="High Price"/>
        <s v="Low Price"/>
      </sharedItems>
    </cacheField>
    <cacheField name="Price Check" numFmtId="0">
      <sharedItems/>
    </cacheField>
    <cacheField name="Customer Engagement" numFmtId="0">
      <sharedItems/>
    </cacheField>
  </cacheFields>
  <extLst>
    <ext xmlns:x14="http://schemas.microsoft.com/office/spreadsheetml/2009/9/main" uri="{725AE2AE-9491-48be-B2B4-4EB974FC3084}">
      <x14:pivotCacheDefinition pivotCacheId="491944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0.38"/>
    <n v="2"/>
    <n v="4.5"/>
    <s v="OK"/>
    <n v="575"/>
    <x v="0"/>
    <s v="OK"/>
    <x v="0"/>
    <x v="0"/>
    <s v="OK"/>
    <s v="Normal"/>
  </r>
  <r>
    <x v="1"/>
    <n v="527"/>
    <n v="999"/>
    <n v="0.47"/>
    <n v="14"/>
    <n v="4.0999999999999996"/>
    <s v="OK"/>
    <n v="472"/>
    <x v="1"/>
    <s v="OK"/>
    <x v="1"/>
    <x v="0"/>
    <s v="OK"/>
    <s v="Strong Engagement"/>
  </r>
  <r>
    <x v="2"/>
    <n v="2199"/>
    <n v="2923"/>
    <n v="0.25"/>
    <n v="24"/>
    <n v="4.5999999999999996"/>
    <s v="OK"/>
    <n v="724"/>
    <x v="0"/>
    <s v="OK"/>
    <x v="0"/>
    <x v="1"/>
    <s v="OK"/>
    <s v="Strong Engagement"/>
  </r>
  <r>
    <x v="3"/>
    <n v="1580"/>
    <n v="2499"/>
    <n v="0.37"/>
    <n v="7"/>
    <n v="4.7"/>
    <s v="OK"/>
    <n v="919"/>
    <x v="0"/>
    <s v="OK"/>
    <x v="0"/>
    <x v="0"/>
    <s v="OK"/>
    <s v="Normal"/>
  </r>
  <r>
    <x v="4"/>
    <n v="1740"/>
    <n v="2356"/>
    <n v="0.26"/>
    <n v="5"/>
    <n v="4.8"/>
    <s v="OK"/>
    <n v="616"/>
    <x v="0"/>
    <s v="OK"/>
    <x v="0"/>
    <x v="1"/>
    <s v="OK"/>
    <s v="Normal"/>
  </r>
  <r>
    <x v="5"/>
    <n v="2999"/>
    <n v="3290"/>
    <n v="0.09"/>
    <n v="15"/>
    <n v="4"/>
    <s v="OK"/>
    <n v="291"/>
    <x v="2"/>
    <s v="OK"/>
    <x v="2"/>
    <x v="1"/>
    <s v="OK"/>
    <s v="Strong Engagement"/>
  </r>
  <r>
    <x v="6"/>
    <n v="2319"/>
    <n v="3032"/>
    <n v="0.24"/>
    <n v="55"/>
    <n v="4.5999999999999996"/>
    <s v="OK"/>
    <n v="713"/>
    <x v="0"/>
    <s v="OK"/>
    <x v="0"/>
    <x v="1"/>
    <s v="OK"/>
    <s v="Strong Engagement"/>
  </r>
  <r>
    <x v="7"/>
    <n v="988"/>
    <n v="1580"/>
    <n v="0.37"/>
    <n v="2"/>
    <n v="4"/>
    <s v="OK"/>
    <n v="592"/>
    <x v="2"/>
    <s v="OK"/>
    <x v="0"/>
    <x v="0"/>
    <s v="OK"/>
    <s v="Normal"/>
  </r>
  <r>
    <x v="8"/>
    <n v="1274"/>
    <n v="2800"/>
    <n v="0.55000000000000004"/>
    <n v="5"/>
    <n v="4.8"/>
    <s v="OK"/>
    <n v="1526"/>
    <x v="0"/>
    <s v="OK"/>
    <x v="1"/>
    <x v="0"/>
    <s v="OK"/>
    <s v="Normal"/>
  </r>
  <r>
    <x v="9"/>
    <n v="1600"/>
    <n v="2929"/>
    <n v="0.45"/>
    <n v="5"/>
    <n v="3.8"/>
    <s v="OK"/>
    <n v="1329"/>
    <x v="2"/>
    <s v="OK"/>
    <x v="1"/>
    <x v="0"/>
    <s v="OK"/>
    <s v="Normal"/>
  </r>
  <r>
    <x v="10"/>
    <n v="799"/>
    <n v="999"/>
    <n v="0.2"/>
    <n v="12"/>
    <n v="4.0999999999999996"/>
    <s v="OK"/>
    <n v="200"/>
    <x v="1"/>
    <s v="OK"/>
    <x v="0"/>
    <x v="0"/>
    <s v="OK"/>
    <s v="Normal"/>
  </r>
  <r>
    <x v="11"/>
    <n v="990"/>
    <n v="1500"/>
    <n v="0.34"/>
    <n v="39"/>
    <n v="4.7"/>
    <s v="OK"/>
    <n v="510"/>
    <x v="0"/>
    <s v="OK"/>
    <x v="0"/>
    <x v="0"/>
    <s v="OK"/>
    <s v="Strong Engagement"/>
  </r>
  <r>
    <x v="12"/>
    <n v="552"/>
    <n v="1035"/>
    <n v="0.47"/>
    <n v="12"/>
    <n v="4.8"/>
    <s v="OK"/>
    <n v="483"/>
    <x v="0"/>
    <s v="OK"/>
    <x v="1"/>
    <x v="0"/>
    <s v="OK"/>
    <s v="Normal"/>
  </r>
  <r>
    <x v="13"/>
    <n v="501"/>
    <n v="860"/>
    <n v="0.42"/>
    <n v="6"/>
    <n v="4.5"/>
    <s v="OK"/>
    <n v="359"/>
    <x v="0"/>
    <s v="OK"/>
    <x v="1"/>
    <x v="0"/>
    <s v="OK"/>
    <s v="Normal"/>
  </r>
  <r>
    <x v="14"/>
    <n v="1680"/>
    <n v="2499"/>
    <n v="0.33"/>
    <n v="9"/>
    <n v="4.2"/>
    <s v="OK"/>
    <n v="819"/>
    <x v="1"/>
    <s v="OK"/>
    <x v="0"/>
    <x v="1"/>
    <s v="OK"/>
    <s v="Normal"/>
  </r>
  <r>
    <x v="15"/>
    <n v="332"/>
    <n v="684"/>
    <n v="0.51"/>
    <n v="2"/>
    <n v="5"/>
    <s v="OK"/>
    <n v="352"/>
    <x v="0"/>
    <s v="OK"/>
    <x v="1"/>
    <x v="2"/>
    <s v="OK"/>
    <s v="Normal"/>
  </r>
  <r>
    <x v="16"/>
    <n v="195"/>
    <n v="360"/>
    <n v="0.46"/>
    <n v="2"/>
    <n v="5"/>
    <s v="OK"/>
    <n v="165"/>
    <x v="0"/>
    <s v="OK"/>
    <x v="1"/>
    <x v="2"/>
    <s v="OK"/>
    <s v="Normal"/>
  </r>
  <r>
    <x v="17"/>
    <n v="2025"/>
    <n v="3971"/>
    <n v="0.49"/>
    <n v="3"/>
    <n v="5"/>
    <s v="OK"/>
    <n v="1946"/>
    <x v="0"/>
    <s v="OK"/>
    <x v="1"/>
    <x v="1"/>
    <s v="OK"/>
    <s v="Normal"/>
  </r>
  <r>
    <x v="18"/>
    <n v="2999"/>
    <n v="3699"/>
    <n v="0.19"/>
    <n v="5"/>
    <n v="4.5999999999999996"/>
    <s v="OK"/>
    <n v="700"/>
    <x v="0"/>
    <s v="OK"/>
    <x v="2"/>
    <x v="1"/>
    <s v="OK"/>
    <s v="Normal"/>
  </r>
  <r>
    <x v="19"/>
    <n v="998"/>
    <n v="1966"/>
    <n v="0.49"/>
    <n v="44"/>
    <n v="4.5999999999999996"/>
    <s v="OK"/>
    <n v="968"/>
    <x v="0"/>
    <s v="OK"/>
    <x v="1"/>
    <x v="0"/>
    <s v="OK"/>
    <s v="Strong Engagement"/>
  </r>
  <r>
    <x v="20"/>
    <n v="38"/>
    <n v="80"/>
    <n v="0.53"/>
    <n v="13"/>
    <n v="3.3"/>
    <s v="OK"/>
    <n v="42"/>
    <x v="2"/>
    <s v="OK"/>
    <x v="1"/>
    <x v="2"/>
    <s v="OK"/>
    <s v="Normal"/>
  </r>
  <r>
    <x v="21"/>
    <n v="1860"/>
    <n v="3220"/>
    <n v="0.42"/>
    <m/>
    <m/>
    <s v="OK"/>
    <n v="1360"/>
    <x v="3"/>
    <s v="OK"/>
    <x v="1"/>
    <x v="1"/>
    <s v="OK"/>
    <s v="Missing"/>
  </r>
  <r>
    <x v="22"/>
    <n v="880"/>
    <n v="1350"/>
    <n v="0.35"/>
    <n v="6"/>
    <n v="4"/>
    <s v="OK"/>
    <n v="470"/>
    <x v="2"/>
    <s v="OK"/>
    <x v="0"/>
    <x v="0"/>
    <s v="OK"/>
    <s v="Normal"/>
  </r>
  <r>
    <x v="23"/>
    <n v="1650"/>
    <n v="2150"/>
    <n v="0.23"/>
    <n v="14"/>
    <n v="4.4000000000000004"/>
    <s v="OK"/>
    <n v="500"/>
    <x v="1"/>
    <s v="OK"/>
    <x v="0"/>
    <x v="0"/>
    <s v="OK"/>
    <s v="Strong Engagement"/>
  </r>
  <r>
    <x v="24"/>
    <n v="2048"/>
    <n v="4500"/>
    <n v="0.54"/>
    <n v="7"/>
    <n v="4.3"/>
    <s v="OK"/>
    <n v="2452"/>
    <x v="1"/>
    <s v="OK"/>
    <x v="1"/>
    <x v="1"/>
    <s v="OK"/>
    <s v="Normal"/>
  </r>
  <r>
    <x v="25"/>
    <n v="420"/>
    <n v="647"/>
    <n v="0.35"/>
    <n v="49"/>
    <n v="4.5999999999999996"/>
    <s v="OK"/>
    <n v="227"/>
    <x v="0"/>
    <s v="OK"/>
    <x v="0"/>
    <x v="2"/>
    <s v="OK"/>
    <s v="Strong Engagement"/>
  </r>
  <r>
    <x v="26"/>
    <n v="2880"/>
    <n v="3520"/>
    <n v="0.18"/>
    <n v="12"/>
    <n v="3.8"/>
    <s v="OK"/>
    <n v="640"/>
    <x v="2"/>
    <s v="OK"/>
    <x v="2"/>
    <x v="1"/>
    <s v="OK"/>
    <s v="Normal"/>
  </r>
  <r>
    <x v="27"/>
    <n v="1350"/>
    <n v="1990"/>
    <n v="0.32"/>
    <n v="13"/>
    <n v="3.8"/>
    <s v="OK"/>
    <n v="640"/>
    <x v="2"/>
    <s v="OK"/>
    <x v="0"/>
    <x v="0"/>
    <s v="OK"/>
    <s v="Normal"/>
  </r>
  <r>
    <x v="28"/>
    <n v="1758"/>
    <n v="2499"/>
    <n v="0.3"/>
    <n v="20"/>
    <n v="4.0999999999999996"/>
    <s v="OK"/>
    <n v="741"/>
    <x v="1"/>
    <s v="OK"/>
    <x v="0"/>
    <x v="1"/>
    <s v="OK"/>
    <s v="Strong Engagement"/>
  </r>
  <r>
    <x v="29"/>
    <n v="2200"/>
    <n v="4080"/>
    <n v="0.46"/>
    <m/>
    <m/>
    <s v="OK"/>
    <n v="1880"/>
    <x v="3"/>
    <s v="OK"/>
    <x v="1"/>
    <x v="1"/>
    <s v="OK"/>
    <s v="Missing"/>
  </r>
  <r>
    <x v="30"/>
    <n v="185"/>
    <n v="382"/>
    <n v="0.52"/>
    <n v="9"/>
    <n v="4.3"/>
    <s v="OK"/>
    <n v="197"/>
    <x v="1"/>
    <s v="OK"/>
    <x v="1"/>
    <x v="2"/>
    <s v="OK"/>
    <s v="Normal"/>
  </r>
  <r>
    <x v="31"/>
    <n v="980"/>
    <n v="1490"/>
    <n v="0.34"/>
    <n v="12"/>
    <n v="4.7"/>
    <s v="OK"/>
    <n v="510"/>
    <x v="0"/>
    <s v="OK"/>
    <x v="0"/>
    <x v="0"/>
    <s v="OK"/>
    <s v="Normal"/>
  </r>
  <r>
    <x v="32"/>
    <n v="1820"/>
    <n v="3490"/>
    <n v="0.48"/>
    <n v="9"/>
    <n v="4.3"/>
    <s v="OK"/>
    <n v="1670"/>
    <x v="1"/>
    <s v="OK"/>
    <x v="1"/>
    <x v="1"/>
    <s v="OK"/>
    <s v="Normal"/>
  </r>
  <r>
    <x v="33"/>
    <n v="1940"/>
    <n v="2650"/>
    <n v="0.27"/>
    <n v="20"/>
    <n v="4.7"/>
    <s v="OK"/>
    <n v="710"/>
    <x v="0"/>
    <s v="OK"/>
    <x v="0"/>
    <x v="1"/>
    <s v="OK"/>
    <s v="Strong Engagement"/>
  </r>
  <r>
    <x v="34"/>
    <n v="1980"/>
    <n v="2699"/>
    <n v="0.27"/>
    <n v="32"/>
    <n v="4.5"/>
    <s v="OK"/>
    <n v="719"/>
    <x v="0"/>
    <s v="OK"/>
    <x v="0"/>
    <x v="1"/>
    <s v="OK"/>
    <s v="Strong Engagement"/>
  </r>
  <r>
    <x v="35"/>
    <n v="1620"/>
    <n v="2690"/>
    <n v="0.4"/>
    <n v="1"/>
    <n v="5"/>
    <s v="OK"/>
    <n v="1070"/>
    <x v="0"/>
    <s v="OK"/>
    <x v="0"/>
    <x v="0"/>
    <s v="OK"/>
    <s v="Normal"/>
  </r>
  <r>
    <x v="36"/>
    <n v="171"/>
    <n v="360"/>
    <n v="0.53"/>
    <n v="2"/>
    <n v="5"/>
    <s v="OK"/>
    <n v="189"/>
    <x v="0"/>
    <s v="OK"/>
    <x v="1"/>
    <x v="2"/>
    <s v="OK"/>
    <s v="Normal"/>
  </r>
  <r>
    <x v="37"/>
    <n v="389"/>
    <n v="656"/>
    <n v="0.41"/>
    <n v="36"/>
    <n v="4.3"/>
    <s v="OK"/>
    <n v="267"/>
    <x v="1"/>
    <s v="OK"/>
    <x v="1"/>
    <x v="2"/>
    <s v="OK"/>
    <s v="Strong Engagement"/>
  </r>
  <r>
    <x v="38"/>
    <n v="1800"/>
    <n v="2700"/>
    <n v="0.38"/>
    <n v="2"/>
    <n v="4.5"/>
    <s v="OK"/>
    <n v="900"/>
    <x v="0"/>
    <s v="OK"/>
    <x v="0"/>
    <x v="1"/>
    <s v="OK"/>
    <s v="Normal"/>
  </r>
  <r>
    <x v="39"/>
    <n v="2750"/>
    <n v="4471"/>
    <n v="0.38"/>
    <m/>
    <m/>
    <s v="OK"/>
    <n v="1721"/>
    <x v="3"/>
    <s v="OK"/>
    <x v="0"/>
    <x v="1"/>
    <s v="OK"/>
    <s v="Missing"/>
  </r>
  <r>
    <x v="40"/>
    <n v="475"/>
    <n v="931"/>
    <n v="0.49"/>
    <m/>
    <m/>
    <s v="OK"/>
    <n v="456"/>
    <x v="3"/>
    <s v="OK"/>
    <x v="1"/>
    <x v="2"/>
    <s v="OK"/>
    <s v="Missing"/>
  </r>
  <r>
    <x v="41"/>
    <n v="238"/>
    <n v="476"/>
    <n v="0.5"/>
    <m/>
    <m/>
    <s v="OK"/>
    <n v="238"/>
    <x v="3"/>
    <s v="OK"/>
    <x v="1"/>
    <x v="2"/>
    <s v="OK"/>
    <s v="Missing"/>
  </r>
  <r>
    <x v="42"/>
    <n v="610"/>
    <n v="1060"/>
    <n v="0.42"/>
    <m/>
    <m/>
    <s v="OK"/>
    <n v="450"/>
    <x v="3"/>
    <s v="OK"/>
    <x v="1"/>
    <x v="0"/>
    <s v="OK"/>
    <s v="Missing"/>
  </r>
  <r>
    <x v="43"/>
    <n v="2132"/>
    <n v="2169"/>
    <n v="0.02"/>
    <m/>
    <m/>
    <s v="OK"/>
    <n v="37"/>
    <x v="3"/>
    <s v="OK"/>
    <x v="2"/>
    <x v="1"/>
    <s v="OK"/>
    <s v="Missing"/>
  </r>
  <r>
    <x v="44"/>
    <n v="999"/>
    <n v="2000"/>
    <n v="0.5"/>
    <m/>
    <m/>
    <s v="OK"/>
    <n v="1001"/>
    <x v="3"/>
    <s v="OK"/>
    <x v="1"/>
    <x v="0"/>
    <s v="OK"/>
    <s v="Missing"/>
  </r>
  <r>
    <x v="45"/>
    <n v="1190"/>
    <n v="1785"/>
    <n v="0.33"/>
    <m/>
    <m/>
    <s v="OK"/>
    <n v="595"/>
    <x v="3"/>
    <s v="OK"/>
    <x v="0"/>
    <x v="0"/>
    <s v="OK"/>
    <s v="Missing"/>
  </r>
  <r>
    <x v="46"/>
    <n v="671"/>
    <n v="1316"/>
    <n v="0.49"/>
    <m/>
    <m/>
    <s v="OK"/>
    <n v="645"/>
    <x v="3"/>
    <s v="OK"/>
    <x v="1"/>
    <x v="0"/>
    <s v="OK"/>
    <s v="Missing"/>
  </r>
  <r>
    <x v="47"/>
    <n v="1200"/>
    <n v="1950"/>
    <n v="0.38"/>
    <m/>
    <m/>
    <s v="OK"/>
    <n v="750"/>
    <x v="3"/>
    <s v="OK"/>
    <x v="0"/>
    <x v="0"/>
    <s v="OK"/>
    <s v="Missing"/>
  </r>
  <r>
    <x v="48"/>
    <n v="199"/>
    <n v="504"/>
    <n v="0.61"/>
    <m/>
    <m/>
    <s v="OK"/>
    <n v="305"/>
    <x v="3"/>
    <s v="OK"/>
    <x v="1"/>
    <x v="2"/>
    <s v="OK"/>
    <s v="Missing"/>
  </r>
  <r>
    <x v="49"/>
    <n v="299"/>
    <n v="600"/>
    <n v="0.5"/>
    <m/>
    <m/>
    <s v="OK"/>
    <n v="301"/>
    <x v="3"/>
    <s v="OK"/>
    <x v="1"/>
    <x v="2"/>
    <s v="OK"/>
    <s v="Missing"/>
  </r>
  <r>
    <x v="50"/>
    <n v="1660"/>
    <n v="1699"/>
    <n v="0.02"/>
    <m/>
    <m/>
    <s v="OK"/>
    <n v="39"/>
    <x v="3"/>
    <s v="OK"/>
    <x v="2"/>
    <x v="0"/>
    <s v="OK"/>
    <s v="Missing"/>
  </r>
  <r>
    <x v="51"/>
    <n v="299"/>
    <n v="384"/>
    <n v="0.22"/>
    <m/>
    <m/>
    <s v="OK"/>
    <n v="85"/>
    <x v="3"/>
    <s v="OK"/>
    <x v="0"/>
    <x v="2"/>
    <s v="OK"/>
    <s v="Missing"/>
  </r>
  <r>
    <x v="52"/>
    <n v="1459"/>
    <n v="1499"/>
    <n v="0.03"/>
    <m/>
    <m/>
    <s v="OK"/>
    <n v="40"/>
    <x v="3"/>
    <s v="OK"/>
    <x v="2"/>
    <x v="0"/>
    <s v="OK"/>
    <s v="Missing"/>
  </r>
  <r>
    <x v="53"/>
    <n v="799"/>
    <n v="1343"/>
    <n v="0.41"/>
    <m/>
    <m/>
    <s v="OK"/>
    <n v="544"/>
    <x v="3"/>
    <s v="OK"/>
    <x v="1"/>
    <x v="0"/>
    <s v="OK"/>
    <s v="Missing"/>
  </r>
  <r>
    <x v="54"/>
    <n v="499"/>
    <n v="900"/>
    <n v="0.45"/>
    <m/>
    <m/>
    <s v="OK"/>
    <n v="401"/>
    <x v="3"/>
    <s v="OK"/>
    <x v="1"/>
    <x v="0"/>
    <s v="OK"/>
    <s v="Missing"/>
  </r>
  <r>
    <x v="55"/>
    <n v="699"/>
    <n v="1343"/>
    <n v="0.48"/>
    <m/>
    <m/>
    <s v="OK"/>
    <n v="644"/>
    <x v="3"/>
    <s v="OK"/>
    <x v="1"/>
    <x v="0"/>
    <s v="OK"/>
    <s v="Missing"/>
  </r>
  <r>
    <x v="56"/>
    <n v="799"/>
    <n v="1567"/>
    <n v="0.49"/>
    <m/>
    <m/>
    <s v="OK"/>
    <n v="768"/>
    <x v="3"/>
    <s v="OK"/>
    <x v="1"/>
    <x v="0"/>
    <s v="OK"/>
    <s v="Missing"/>
  </r>
  <r>
    <x v="57"/>
    <n v="2799"/>
    <n v="3810"/>
    <n v="0.27"/>
    <m/>
    <m/>
    <s v="OK"/>
    <n v="1011"/>
    <x v="3"/>
    <s v="OK"/>
    <x v="0"/>
    <x v="1"/>
    <s v="OK"/>
    <s v="Missing"/>
  </r>
  <r>
    <x v="54"/>
    <n v="399"/>
    <n v="896"/>
    <n v="0.55000000000000004"/>
    <m/>
    <m/>
    <s v="OK"/>
    <n v="497"/>
    <x v="3"/>
    <s v="OK"/>
    <x v="1"/>
    <x v="2"/>
    <s v="OK"/>
    <s v="Missing"/>
  </r>
  <r>
    <x v="58"/>
    <n v="2170"/>
    <n v="2500"/>
    <n v="0.13"/>
    <n v="6"/>
    <n v="2.5"/>
    <s v="OK"/>
    <n v="330"/>
    <x v="4"/>
    <s v="OK"/>
    <x v="2"/>
    <x v="1"/>
    <s v="OK"/>
    <s v="Normal"/>
  </r>
  <r>
    <x v="59"/>
    <n v="458"/>
    <n v="986"/>
    <n v="0.54"/>
    <n v="10"/>
    <n v="3"/>
    <s v="OK"/>
    <n v="528"/>
    <x v="2"/>
    <s v="OK"/>
    <x v="1"/>
    <x v="2"/>
    <s v="OK"/>
    <s v="Normal"/>
  </r>
  <r>
    <x v="60"/>
    <n v="2115"/>
    <n v="4700"/>
    <n v="0.55000000000000004"/>
    <n v="13"/>
    <n v="2.1"/>
    <s v="OK"/>
    <n v="2585"/>
    <x v="4"/>
    <s v="OK"/>
    <x v="1"/>
    <x v="1"/>
    <s v="OK"/>
    <s v="Normal"/>
  </r>
  <r>
    <x v="61"/>
    <n v="445"/>
    <n v="873"/>
    <n v="0.49"/>
    <n v="69"/>
    <n v="2.8"/>
    <s v="OK"/>
    <n v="428"/>
    <x v="4"/>
    <s v="OK"/>
    <x v="1"/>
    <x v="2"/>
    <s v="OK"/>
    <s v="Strong Engagement"/>
  </r>
  <r>
    <x v="62"/>
    <n v="325"/>
    <n v="680"/>
    <n v="0.52"/>
    <n v="15"/>
    <n v="2.7"/>
    <s v="OK"/>
    <n v="355"/>
    <x v="4"/>
    <s v="OK"/>
    <x v="1"/>
    <x v="2"/>
    <s v="OK"/>
    <s v="Strong Engagement"/>
  </r>
  <r>
    <x v="63"/>
    <n v="1220"/>
    <n v="1555"/>
    <n v="0.22"/>
    <n v="16"/>
    <n v="2.9"/>
    <s v="OK"/>
    <n v="335"/>
    <x v="4"/>
    <s v="OK"/>
    <x v="0"/>
    <x v="0"/>
    <s v="OK"/>
    <s v="Strong Engagement"/>
  </r>
  <r>
    <x v="64"/>
    <n v="990"/>
    <n v="1814"/>
    <n v="0.45"/>
    <n v="6"/>
    <n v="2.2000000000000002"/>
    <s v="OK"/>
    <n v="824"/>
    <x v="4"/>
    <s v="OK"/>
    <x v="1"/>
    <x v="0"/>
    <s v="OK"/>
    <s v="Normal"/>
  </r>
  <r>
    <x v="65"/>
    <n v="1000"/>
    <n v="2000"/>
    <n v="0.5"/>
    <n v="7"/>
    <n v="2.2999999999999998"/>
    <s v="OK"/>
    <n v="1000"/>
    <x v="4"/>
    <s v="OK"/>
    <x v="1"/>
    <x v="0"/>
    <s v="OK"/>
    <s v="Normal"/>
  </r>
  <r>
    <x v="66"/>
    <n v="3750"/>
    <n v="6143"/>
    <n v="0.39"/>
    <n v="5"/>
    <n v="3"/>
    <s v="OK"/>
    <n v="2393"/>
    <x v="2"/>
    <s v="OK"/>
    <x v="0"/>
    <x v="1"/>
    <s v="OK"/>
    <s v="Normal"/>
  </r>
  <r>
    <x v="67"/>
    <n v="382"/>
    <n v="700"/>
    <n v="0.45"/>
    <n v="17"/>
    <n v="2.6"/>
    <s v="OK"/>
    <n v="318"/>
    <x v="4"/>
    <s v="OK"/>
    <x v="1"/>
    <x v="2"/>
    <s v="OK"/>
    <s v="Strong Engagement"/>
  </r>
  <r>
    <x v="68"/>
    <n v="2300"/>
    <n v="3240"/>
    <n v="0.28999999999999998"/>
    <n v="5"/>
    <n v="3"/>
    <s v="OK"/>
    <n v="940"/>
    <x v="2"/>
    <s v="OK"/>
    <x v="0"/>
    <x v="1"/>
    <s v="OK"/>
    <s v="Normal"/>
  </r>
  <r>
    <x v="69"/>
    <n v="345"/>
    <n v="602"/>
    <n v="0.43"/>
    <n v="6"/>
    <n v="2.2999999999999998"/>
    <s v="OK"/>
    <n v="257"/>
    <x v="4"/>
    <s v="OK"/>
    <x v="1"/>
    <x v="2"/>
    <s v="OK"/>
    <s v="Normal"/>
  </r>
  <r>
    <x v="70"/>
    <n v="509"/>
    <n v="899"/>
    <n v="0.43"/>
    <n v="5"/>
    <n v="3"/>
    <s v="OK"/>
    <n v="390"/>
    <x v="2"/>
    <s v="OK"/>
    <x v="1"/>
    <x v="0"/>
    <s v="OK"/>
    <s v="Normal"/>
  </r>
  <r>
    <x v="71"/>
    <n v="968"/>
    <n v="1814"/>
    <n v="0.47"/>
    <n v="6"/>
    <n v="2.2000000000000002"/>
    <s v="OK"/>
    <n v="846"/>
    <x v="4"/>
    <s v="OK"/>
    <x v="1"/>
    <x v="0"/>
    <s v="OK"/>
    <s v="Normal"/>
  </r>
  <r>
    <x v="72"/>
    <n v="1570"/>
    <n v="2988"/>
    <n v="0.47"/>
    <n v="7"/>
    <n v="2.1"/>
    <s v="OK"/>
    <n v="1418"/>
    <x v="4"/>
    <s v="OK"/>
    <x v="1"/>
    <x v="0"/>
    <s v="OK"/>
    <s v="Normal"/>
  </r>
  <r>
    <x v="73"/>
    <n v="790"/>
    <n v="1485"/>
    <n v="0.47"/>
    <m/>
    <m/>
    <s v="OK"/>
    <n v="695"/>
    <x v="3"/>
    <s v="OK"/>
    <x v="1"/>
    <x v="0"/>
    <s v="OK"/>
    <s v="Missing"/>
  </r>
  <r>
    <x v="74"/>
    <n v="690"/>
    <n v="1200"/>
    <n v="0.43"/>
    <m/>
    <m/>
    <s v="OK"/>
    <n v="510"/>
    <x v="3"/>
    <s v="OK"/>
    <x v="1"/>
    <x v="0"/>
    <s v="OK"/>
    <s v="Missing"/>
  </r>
  <r>
    <x v="75"/>
    <n v="1732"/>
    <n v="1799"/>
    <n v="0.04"/>
    <m/>
    <m/>
    <s v="OK"/>
    <n v="67"/>
    <x v="3"/>
    <s v="OK"/>
    <x v="2"/>
    <x v="1"/>
    <s v="OK"/>
    <s v="Missing"/>
  </r>
  <r>
    <x v="76"/>
    <n v="230"/>
    <n v="450"/>
    <n v="0.49"/>
    <m/>
    <m/>
    <s v="OK"/>
    <n v="220"/>
    <x v="3"/>
    <s v="OK"/>
    <x v="1"/>
    <x v="2"/>
    <s v="OK"/>
    <s v="Missing"/>
  </r>
  <r>
    <x v="77"/>
    <n v="1189"/>
    <n v="2199"/>
    <n v="0.46"/>
    <n v="1"/>
    <n v="3"/>
    <s v="OK"/>
    <n v="1010"/>
    <x v="2"/>
    <s v="OK"/>
    <x v="1"/>
    <x v="0"/>
    <s v="OK"/>
    <s v="Normal"/>
  </r>
  <r>
    <x v="78"/>
    <n v="979"/>
    <n v="1920"/>
    <n v="0.49"/>
    <n v="1"/>
    <n v="5"/>
    <s v="OK"/>
    <n v="941"/>
    <x v="0"/>
    <s v="OK"/>
    <x v="1"/>
    <x v="0"/>
    <s v="OK"/>
    <s v="Normal"/>
  </r>
  <r>
    <x v="79"/>
    <n v="1460"/>
    <n v="2290"/>
    <n v="0.36"/>
    <m/>
    <m/>
    <s v="OK"/>
    <n v="830"/>
    <x v="3"/>
    <s v="OK"/>
    <x v="0"/>
    <x v="0"/>
    <s v="OK"/>
    <s v="Missing"/>
  </r>
  <r>
    <x v="80"/>
    <n v="1666"/>
    <n v="1699"/>
    <n v="0.02"/>
    <m/>
    <m/>
    <s v="OK"/>
    <n v="33"/>
    <x v="3"/>
    <s v="OK"/>
    <x v="2"/>
    <x v="0"/>
    <s v="OK"/>
    <s v="Missing"/>
  </r>
  <r>
    <x v="81"/>
    <n v="330"/>
    <n v="647"/>
    <n v="0.49"/>
    <n v="1"/>
    <n v="4"/>
    <s v="OK"/>
    <n v="317"/>
    <x v="2"/>
    <s v="OK"/>
    <x v="1"/>
    <x v="2"/>
    <s v="OK"/>
    <s v="Normal"/>
  </r>
  <r>
    <x v="48"/>
    <n v="176"/>
    <n v="345"/>
    <n v="0.49"/>
    <m/>
    <m/>
    <s v="OK"/>
    <n v="169"/>
    <x v="3"/>
    <s v="OK"/>
    <x v="1"/>
    <x v="2"/>
    <s v="OK"/>
    <s v="Missing"/>
  </r>
  <r>
    <x v="82"/>
    <n v="1466"/>
    <n v="1699"/>
    <n v="0.14000000000000001"/>
    <m/>
    <m/>
    <s v="OK"/>
    <n v="233"/>
    <x v="3"/>
    <s v="OK"/>
    <x v="2"/>
    <x v="0"/>
    <s v="OK"/>
    <s v="Missing"/>
  </r>
  <r>
    <x v="83"/>
    <n v="274"/>
    <n v="537"/>
    <n v="0.49"/>
    <m/>
    <m/>
    <s v="OK"/>
    <n v="263"/>
    <x v="3"/>
    <s v="OK"/>
    <x v="1"/>
    <x v="2"/>
    <s v="OK"/>
    <s v="Missing"/>
  </r>
  <r>
    <x v="84"/>
    <n v="799"/>
    <n v="900"/>
    <n v="0.11"/>
    <m/>
    <m/>
    <s v="OK"/>
    <n v="101"/>
    <x v="3"/>
    <s v="OK"/>
    <x v="2"/>
    <x v="0"/>
    <s v="OK"/>
    <s v="Missing"/>
  </r>
  <r>
    <x v="56"/>
    <n v="657"/>
    <n v="1288"/>
    <n v="0.49"/>
    <m/>
    <m/>
    <s v="OK"/>
    <n v="631"/>
    <x v="3"/>
    <s v="OK"/>
    <x v="1"/>
    <x v="0"/>
    <s v="OK"/>
    <s v="Missing"/>
  </r>
  <r>
    <x v="85"/>
    <n v="1468"/>
    <n v="1699"/>
    <n v="0.14000000000000001"/>
    <m/>
    <m/>
    <s v="OK"/>
    <n v="231"/>
    <x v="3"/>
    <s v="OK"/>
    <x v="2"/>
    <x v="0"/>
    <s v="OK"/>
    <s v="Missing"/>
  </r>
  <r>
    <x v="86"/>
    <n v="630"/>
    <n v="1100"/>
    <n v="0.43"/>
    <m/>
    <m/>
    <s v="OK"/>
    <n v="470"/>
    <x v="3"/>
    <s v="OK"/>
    <x v="1"/>
    <x v="0"/>
    <s v="OK"/>
    <s v="Missing"/>
  </r>
  <r>
    <x v="87"/>
    <n v="850"/>
    <n v="1700"/>
    <n v="0.5"/>
    <m/>
    <m/>
    <s v="OK"/>
    <n v="850"/>
    <x v="3"/>
    <s v="OK"/>
    <x v="1"/>
    <x v="0"/>
    <s v="OK"/>
    <s v="Missing"/>
  </r>
  <r>
    <x v="88"/>
    <n v="1300"/>
    <n v="2500"/>
    <n v="0.48"/>
    <m/>
    <m/>
    <s v="OK"/>
    <n v="1200"/>
    <x v="3"/>
    <s v="OK"/>
    <x v="1"/>
    <x v="0"/>
    <s v="OK"/>
    <s v="Missing"/>
  </r>
  <r>
    <x v="89"/>
    <n v="105"/>
    <n v="200"/>
    <n v="0.48"/>
    <m/>
    <m/>
    <s v="OK"/>
    <n v="95"/>
    <x v="3"/>
    <s v="OK"/>
    <x v="1"/>
    <x v="2"/>
    <s v="OK"/>
    <s v="Missing"/>
  </r>
  <r>
    <x v="90"/>
    <n v="899"/>
    <n v="1699"/>
    <n v="0.47"/>
    <m/>
    <m/>
    <s v="OK"/>
    <n v="800"/>
    <x v="3"/>
    <s v="OK"/>
    <x v="1"/>
    <x v="0"/>
    <s v="OK"/>
    <s v="Missing"/>
  </r>
  <r>
    <x v="91"/>
    <n v="1200"/>
    <n v="2400"/>
    <n v="0.5"/>
    <m/>
    <m/>
    <s v="OK"/>
    <n v="1200"/>
    <x v="3"/>
    <s v="OK"/>
    <x v="1"/>
    <x v="0"/>
    <s v="OK"/>
    <s v="Missing"/>
  </r>
  <r>
    <x v="92"/>
    <n v="1526"/>
    <n v="1660"/>
    <n v="0.08"/>
    <m/>
    <m/>
    <s v="OK"/>
    <n v="134"/>
    <x v="3"/>
    <s v="OK"/>
    <x v="2"/>
    <x v="0"/>
    <s v="OK"/>
    <s v="Missing"/>
  </r>
  <r>
    <x v="93"/>
    <n v="1462"/>
    <n v="1499"/>
    <n v="0.02"/>
    <m/>
    <m/>
    <s v="OK"/>
    <n v="37"/>
    <x v="3"/>
    <s v="OK"/>
    <x v="2"/>
    <x v="0"/>
    <s v="OK"/>
    <s v="Missing"/>
  </r>
  <r>
    <x v="94"/>
    <n v="248"/>
    <n v="486"/>
    <n v="0.49"/>
    <m/>
    <m/>
    <s v="OK"/>
    <n v="238"/>
    <x v="3"/>
    <s v="OK"/>
    <x v="1"/>
    <x v="2"/>
    <s v="OK"/>
    <s v="Missing"/>
  </r>
  <r>
    <x v="95"/>
    <n v="3546"/>
    <n v="3699"/>
    <n v="0.04"/>
    <m/>
    <m/>
    <s v="OK"/>
    <n v="153"/>
    <x v="3"/>
    <s v="OK"/>
    <x v="2"/>
    <x v="1"/>
    <s v="OK"/>
    <s v="Missing"/>
  </r>
  <r>
    <x v="96"/>
    <n v="525"/>
    <n v="1029"/>
    <n v="0.49"/>
    <m/>
    <m/>
    <s v="OK"/>
    <n v="504"/>
    <x v="3"/>
    <s v="OK"/>
    <x v="1"/>
    <x v="0"/>
    <s v="OK"/>
    <s v="Missing"/>
  </r>
  <r>
    <x v="97"/>
    <n v="1080"/>
    <n v="1874"/>
    <n v="0.42"/>
    <m/>
    <m/>
    <s v="OK"/>
    <n v="794"/>
    <x v="3"/>
    <s v="OK"/>
    <x v="1"/>
    <x v="0"/>
    <s v="OK"/>
    <s v="Missing"/>
  </r>
  <r>
    <x v="98"/>
    <n v="3640"/>
    <n v="4588"/>
    <n v="0.21"/>
    <n v="1"/>
    <n v="5"/>
    <s v="OK"/>
    <n v="948"/>
    <x v="0"/>
    <s v="OK"/>
    <x v="0"/>
    <x v="1"/>
    <s v="OK"/>
    <s v="Normal"/>
  </r>
  <r>
    <x v="99"/>
    <n v="1420"/>
    <n v="2420"/>
    <n v="0.41"/>
    <m/>
    <m/>
    <s v="OK"/>
    <n v="1000"/>
    <x v="3"/>
    <s v="OK"/>
    <x v="1"/>
    <x v="0"/>
    <s v="OK"/>
    <s v="Missing"/>
  </r>
  <r>
    <x v="100"/>
    <n v="1875"/>
    <n v="1899"/>
    <n v="0.01"/>
    <m/>
    <m/>
    <s v="OK"/>
    <n v="24"/>
    <x v="3"/>
    <s v="OK"/>
    <x v="2"/>
    <x v="1"/>
    <s v="OK"/>
    <s v="Missing"/>
  </r>
  <r>
    <x v="101"/>
    <n v="198"/>
    <n v="260"/>
    <n v="0.24"/>
    <m/>
    <m/>
    <s v="OK"/>
    <n v="62"/>
    <x v="3"/>
    <s v="OK"/>
    <x v="0"/>
    <x v="2"/>
    <s v="OK"/>
    <s v="Missing"/>
  </r>
  <r>
    <x v="102"/>
    <n v="1150"/>
    <n v="1737"/>
    <n v="0.34"/>
    <m/>
    <m/>
    <s v="OK"/>
    <n v="587"/>
    <x v="3"/>
    <s v="OK"/>
    <x v="0"/>
    <x v="0"/>
    <s v="OK"/>
    <s v="Missing"/>
  </r>
  <r>
    <x v="103"/>
    <n v="1190"/>
    <n v="1810"/>
    <n v="0.34"/>
    <m/>
    <m/>
    <s v="OK"/>
    <n v="620"/>
    <x v="3"/>
    <s v="OK"/>
    <x v="0"/>
    <x v="0"/>
    <s v="OK"/>
    <s v="Missing"/>
  </r>
  <r>
    <x v="104"/>
    <n v="1658"/>
    <n v="1699"/>
    <n v="0.02"/>
    <m/>
    <m/>
    <s v="OK"/>
    <n v="41"/>
    <x v="3"/>
    <s v="OK"/>
    <x v="2"/>
    <x v="0"/>
    <s v="OK"/>
    <s v="Missing"/>
  </r>
  <r>
    <x v="105"/>
    <n v="1768"/>
    <n v="1799"/>
    <n v="0.02"/>
    <m/>
    <m/>
    <s v="OK"/>
    <n v="31"/>
    <x v="3"/>
    <s v="OK"/>
    <x v="2"/>
    <x v="1"/>
    <s v="OK"/>
    <s v="Missing"/>
  </r>
  <r>
    <x v="106"/>
    <n v="199"/>
    <n v="553"/>
    <n v="0.64"/>
    <m/>
    <m/>
    <s v="OK"/>
    <n v="354"/>
    <x v="3"/>
    <s v="OK"/>
    <x v="1"/>
    <x v="2"/>
    <s v="OK"/>
    <s v="Missing"/>
  </r>
  <r>
    <x v="107"/>
    <n v="450"/>
    <n v="900"/>
    <n v="0.5"/>
    <n v="1"/>
    <n v="2"/>
    <s v="OK"/>
    <n v="450"/>
    <x v="4"/>
    <s v="OK"/>
    <x v="1"/>
    <x v="2"/>
    <s v="OK"/>
    <s v="Normal"/>
  </r>
  <r>
    <x v="108"/>
    <n v="169"/>
    <n v="320"/>
    <n v="0.47"/>
    <m/>
    <m/>
    <s v="OK"/>
    <n v="151"/>
    <x v="3"/>
    <s v="OK"/>
    <x v="1"/>
    <x v="2"/>
    <s v="OK"/>
    <s v="Miss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7AF0F7-D57C-4D17-A7AF-B32E978597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4">
    <pivotField dataField="1" showAll="0"/>
    <pivotField numFmtId="2" showAll="0"/>
    <pivotField numFmtId="2" showAll="0"/>
    <pivotField numFmtId="10" showAll="0"/>
    <pivotField showAll="0"/>
    <pivotField showAll="0"/>
    <pivotField showAll="0"/>
    <pivotField numFmtId="2" showAll="0"/>
    <pivotField axis="axisRow" showAll="0">
      <items count="6">
        <item x="2"/>
        <item x="0"/>
        <item x="4"/>
        <item h="1" x="3"/>
        <item h="1" x="1"/>
        <item t="default"/>
      </items>
    </pivotField>
    <pivotField showAll="0"/>
    <pivotField showAll="0">
      <items count="4">
        <item x="1"/>
        <item x="2"/>
        <item x="0"/>
        <item t="default"/>
      </items>
    </pivotField>
    <pivotField showAll="0">
      <items count="4">
        <item x="1"/>
        <item x="2"/>
        <item x="0"/>
        <item t="default"/>
      </items>
    </pivotField>
    <pivotField showAll="0"/>
    <pivotField showAll="0"/>
  </pivotFields>
  <rowFields count="1">
    <field x="8"/>
  </rowFields>
  <rowItems count="4">
    <i>
      <x/>
    </i>
    <i>
      <x v="1"/>
    </i>
    <i>
      <x v="2"/>
    </i>
    <i t="grand">
      <x/>
    </i>
  </rowItems>
  <colItems count="1">
    <i/>
  </colItems>
  <dataFields count="1">
    <dataField name="Count of Product" fld="0"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8"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3"/>
          </reference>
        </references>
      </pivotArea>
    </chartFormat>
    <chartFormat chart="2" format="12">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75BE7D-15FF-415F-8E6B-55FA3BE8EF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4">
    <pivotField dataField="1" showAll="0"/>
    <pivotField numFmtId="2" showAll="0"/>
    <pivotField numFmtId="2" showAll="0"/>
    <pivotField numFmtId="10" showAll="0"/>
    <pivotField showAll="0"/>
    <pivotField showAll="0"/>
    <pivotField showAll="0"/>
    <pivotField numFmtId="2" showAll="0"/>
    <pivotField showAll="0">
      <items count="6">
        <item x="2"/>
        <item x="0"/>
        <item x="4"/>
        <item h="1" x="3"/>
        <item h="1" x="1"/>
        <item t="default"/>
      </items>
    </pivotField>
    <pivotField showAll="0"/>
    <pivotField axis="axisRow" showAll="0">
      <items count="4">
        <item x="1"/>
        <item x="2"/>
        <item x="0"/>
        <item t="default"/>
      </items>
    </pivotField>
    <pivotField showAll="0">
      <items count="4">
        <item x="1"/>
        <item x="2"/>
        <item x="0"/>
        <item t="default"/>
      </items>
    </pivotField>
    <pivotField showAll="0"/>
    <pivotField showAll="0"/>
  </pivotFields>
  <rowFields count="1">
    <field x="10"/>
  </rowFields>
  <rowItems count="4">
    <i>
      <x/>
    </i>
    <i>
      <x v="1"/>
    </i>
    <i>
      <x v="2"/>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EB741D-1309-413A-B1B7-EDFA865BA1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4">
    <pivotField showAll="0"/>
    <pivotField numFmtId="2" showAll="0"/>
    <pivotField numFmtId="2" showAll="0"/>
    <pivotField numFmtId="10" showAll="0"/>
    <pivotField showAll="0"/>
    <pivotField dataField="1" showAll="0"/>
    <pivotField showAll="0"/>
    <pivotField numFmtId="2" showAll="0"/>
    <pivotField showAll="0">
      <items count="6">
        <item x="2"/>
        <item x="0"/>
        <item x="4"/>
        <item h="1" x="3"/>
        <item h="1" x="1"/>
        <item t="default"/>
      </items>
    </pivotField>
    <pivotField showAll="0"/>
    <pivotField showAll="0">
      <items count="4">
        <item x="1"/>
        <item x="2"/>
        <item x="0"/>
        <item t="default"/>
      </items>
    </pivotField>
    <pivotField axis="axisRow" showAll="0">
      <items count="4">
        <item x="1"/>
        <item x="2"/>
        <item x="0"/>
        <item t="default"/>
      </items>
    </pivotField>
    <pivotField showAll="0"/>
    <pivotField showAll="0"/>
  </pivotFields>
  <rowFields count="1">
    <field x="11"/>
  </rowFields>
  <rowItems count="4">
    <i>
      <x/>
    </i>
    <i>
      <x v="1"/>
    </i>
    <i>
      <x v="2"/>
    </i>
    <i t="grand">
      <x/>
    </i>
  </rowItems>
  <colItems count="1">
    <i/>
  </colItems>
  <dataFields count="1">
    <dataField name="Average of Rating" fld="5" subtotal="average" baseField="1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98C11C-3C66-4BD0-AA9D-0EDDA72D831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4">
    <pivotField showAll="0"/>
    <pivotField numFmtId="2" showAll="0"/>
    <pivotField numFmtId="2" showAll="0"/>
    <pivotField numFmtId="10" showAll="0"/>
    <pivotField dataField="1" showAll="0"/>
    <pivotField showAll="0"/>
    <pivotField showAll="0"/>
    <pivotField numFmtId="2" showAll="0"/>
    <pivotField showAll="0">
      <items count="6">
        <item x="2"/>
        <item x="0"/>
        <item x="4"/>
        <item h="1" x="3"/>
        <item h="1" x="1"/>
        <item t="default"/>
      </items>
    </pivotField>
    <pivotField showAll="0"/>
    <pivotField axis="axisRow" showAll="0">
      <items count="4">
        <item x="1"/>
        <item x="2"/>
        <item x="0"/>
        <item t="default"/>
      </items>
    </pivotField>
    <pivotField showAll="0">
      <items count="4">
        <item x="1"/>
        <item x="2"/>
        <item x="0"/>
        <item t="default"/>
      </items>
    </pivotField>
    <pivotField showAll="0"/>
    <pivotField showAll="0"/>
  </pivotFields>
  <rowFields count="1">
    <field x="10"/>
  </rowFields>
  <rowItems count="4">
    <i>
      <x/>
    </i>
    <i>
      <x v="1"/>
    </i>
    <i>
      <x v="2"/>
    </i>
    <i t="grand">
      <x/>
    </i>
  </rowItems>
  <colItems count="1">
    <i/>
  </colItems>
  <dataFields count="1">
    <dataField name="Sum of Review"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89ADDF-4AF1-4F9F-829B-6584F3CC60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2" firstHeaderRow="1" firstDataRow="1" firstDataCol="1"/>
  <pivotFields count="14">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10" showAll="0"/>
    <pivotField showAll="0"/>
    <pivotField dataField="1" showAll="0"/>
    <pivotField showAll="0"/>
    <pivotField numFmtId="2" showAll="0"/>
    <pivotField showAll="0">
      <items count="6">
        <item x="2"/>
        <item x="0"/>
        <item x="4"/>
        <item h="1" x="3"/>
        <item h="1" x="1"/>
        <item t="default"/>
      </items>
    </pivotField>
    <pivotField showAll="0"/>
    <pivotField showAll="0">
      <items count="4">
        <item x="1"/>
        <item x="2"/>
        <item x="0"/>
        <item t="default"/>
      </items>
    </pivotField>
    <pivotField showAll="0">
      <items count="4">
        <item x="1"/>
        <item x="2"/>
        <item x="0"/>
        <item t="default"/>
      </items>
    </pivotField>
    <pivotField showAll="0"/>
    <pivotField showAll="0"/>
  </pivotFields>
  <rowFields count="1">
    <field x="0"/>
  </rowFields>
  <rowItems count="49">
    <i>
      <x/>
    </i>
    <i>
      <x v="1"/>
    </i>
    <i>
      <x v="2"/>
    </i>
    <i>
      <x v="3"/>
    </i>
    <i>
      <x v="4"/>
    </i>
    <i>
      <x v="5"/>
    </i>
    <i>
      <x v="7"/>
    </i>
    <i>
      <x v="8"/>
    </i>
    <i>
      <x v="11"/>
    </i>
    <i>
      <x v="16"/>
    </i>
    <i>
      <x v="17"/>
    </i>
    <i>
      <x v="18"/>
    </i>
    <i>
      <x v="20"/>
    </i>
    <i>
      <x v="22"/>
    </i>
    <i>
      <x v="25"/>
    </i>
    <i>
      <x v="27"/>
    </i>
    <i>
      <x v="28"/>
    </i>
    <i>
      <x v="30"/>
    </i>
    <i>
      <x v="35"/>
    </i>
    <i>
      <x v="38"/>
    </i>
    <i>
      <x v="40"/>
    </i>
    <i>
      <x v="41"/>
    </i>
    <i>
      <x v="44"/>
    </i>
    <i>
      <x v="52"/>
    </i>
    <i>
      <x v="56"/>
    </i>
    <i>
      <x v="57"/>
    </i>
    <i>
      <x v="58"/>
    </i>
    <i>
      <x v="59"/>
    </i>
    <i>
      <x v="63"/>
    </i>
    <i>
      <x v="64"/>
    </i>
    <i>
      <x v="65"/>
    </i>
    <i>
      <x v="66"/>
    </i>
    <i>
      <x v="68"/>
    </i>
    <i>
      <x v="69"/>
    </i>
    <i>
      <x v="70"/>
    </i>
    <i>
      <x v="73"/>
    </i>
    <i>
      <x v="75"/>
    </i>
    <i>
      <x v="76"/>
    </i>
    <i>
      <x v="84"/>
    </i>
    <i>
      <x v="87"/>
    </i>
    <i>
      <x v="90"/>
    </i>
    <i>
      <x v="91"/>
    </i>
    <i>
      <x v="93"/>
    </i>
    <i>
      <x v="101"/>
    </i>
    <i>
      <x v="104"/>
    </i>
    <i>
      <x v="106"/>
    </i>
    <i>
      <x v="107"/>
    </i>
    <i>
      <x v="108"/>
    </i>
    <i t="grand">
      <x/>
    </i>
  </rowItems>
  <colItems count="1">
    <i/>
  </colItems>
  <dataFields count="1">
    <dataField name="Average of Rating" fld="5" subtotal="average" baseField="0" baseItem="11"/>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956282-0669-4945-879F-A9CA0936746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2" firstHeaderRow="1" firstDataRow="1" firstDataCol="1"/>
  <pivotFields count="14">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dataField="1" numFmtId="10" showAll="0"/>
    <pivotField showAll="0"/>
    <pivotField showAll="0"/>
    <pivotField showAll="0"/>
    <pivotField numFmtId="2" showAll="0"/>
    <pivotField showAll="0">
      <items count="6">
        <item x="2"/>
        <item x="0"/>
        <item x="4"/>
        <item h="1" x="3"/>
        <item h="1" x="1"/>
        <item t="default"/>
      </items>
    </pivotField>
    <pivotField showAll="0"/>
    <pivotField showAll="0">
      <items count="4">
        <item x="1"/>
        <item x="2"/>
        <item x="0"/>
        <item t="default"/>
      </items>
    </pivotField>
    <pivotField showAll="0">
      <items count="4">
        <item x="1"/>
        <item x="2"/>
        <item x="0"/>
        <item t="default"/>
      </items>
    </pivotField>
    <pivotField showAll="0"/>
    <pivotField showAll="0"/>
  </pivotFields>
  <rowFields count="1">
    <field x="0"/>
  </rowFields>
  <rowItems count="49">
    <i>
      <x/>
    </i>
    <i>
      <x v="1"/>
    </i>
    <i>
      <x v="2"/>
    </i>
    <i>
      <x v="3"/>
    </i>
    <i>
      <x v="4"/>
    </i>
    <i>
      <x v="5"/>
    </i>
    <i>
      <x v="7"/>
    </i>
    <i>
      <x v="8"/>
    </i>
    <i>
      <x v="11"/>
    </i>
    <i>
      <x v="16"/>
    </i>
    <i>
      <x v="17"/>
    </i>
    <i>
      <x v="18"/>
    </i>
    <i>
      <x v="20"/>
    </i>
    <i>
      <x v="22"/>
    </i>
    <i>
      <x v="25"/>
    </i>
    <i>
      <x v="27"/>
    </i>
    <i>
      <x v="28"/>
    </i>
    <i>
      <x v="30"/>
    </i>
    <i>
      <x v="35"/>
    </i>
    <i>
      <x v="38"/>
    </i>
    <i>
      <x v="40"/>
    </i>
    <i>
      <x v="41"/>
    </i>
    <i>
      <x v="44"/>
    </i>
    <i>
      <x v="52"/>
    </i>
    <i>
      <x v="56"/>
    </i>
    <i>
      <x v="57"/>
    </i>
    <i>
      <x v="58"/>
    </i>
    <i>
      <x v="59"/>
    </i>
    <i>
      <x v="63"/>
    </i>
    <i>
      <x v="64"/>
    </i>
    <i>
      <x v="65"/>
    </i>
    <i>
      <x v="66"/>
    </i>
    <i>
      <x v="68"/>
    </i>
    <i>
      <x v="69"/>
    </i>
    <i>
      <x v="70"/>
    </i>
    <i>
      <x v="73"/>
    </i>
    <i>
      <x v="75"/>
    </i>
    <i>
      <x v="76"/>
    </i>
    <i>
      <x v="84"/>
    </i>
    <i>
      <x v="87"/>
    </i>
    <i>
      <x v="90"/>
    </i>
    <i>
      <x v="91"/>
    </i>
    <i>
      <x v="93"/>
    </i>
    <i>
      <x v="101"/>
    </i>
    <i>
      <x v="104"/>
    </i>
    <i>
      <x v="106"/>
    </i>
    <i>
      <x v="107"/>
    </i>
    <i>
      <x v="108"/>
    </i>
    <i t="grand">
      <x/>
    </i>
  </rowItems>
  <colItems count="1">
    <i/>
  </colItems>
  <dataFields count="1">
    <dataField name="Average of Discount" fld="3" subtotal="average" baseField="0" baseItem="0" numFmtId="1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54244C-754C-43DE-98B2-BD3D8398B0D5}"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2" firstHeaderRow="1" firstDataRow="1" firstDataCol="1"/>
  <pivotFields count="14">
    <pivotField axis="axisRow"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2" showAll="0"/>
    <pivotField numFmtId="2" showAll="0"/>
    <pivotField numFmtId="10" showAll="0"/>
    <pivotField dataField="1" showAll="0"/>
    <pivotField showAll="0"/>
    <pivotField showAll="0"/>
    <pivotField numFmtId="2" showAll="0"/>
    <pivotField showAll="0">
      <items count="6">
        <item x="2"/>
        <item x="0"/>
        <item x="4"/>
        <item h="1" x="3"/>
        <item h="1" x="1"/>
        <item t="default"/>
      </items>
    </pivotField>
    <pivotField showAll="0"/>
    <pivotField showAll="0">
      <items count="4">
        <item x="1"/>
        <item x="2"/>
        <item x="0"/>
        <item t="default"/>
      </items>
    </pivotField>
    <pivotField showAll="0">
      <items count="4">
        <item x="1"/>
        <item x="2"/>
        <item x="0"/>
        <item t="default"/>
      </items>
    </pivotField>
    <pivotField showAll="0"/>
    <pivotField showAll="0"/>
  </pivotFields>
  <rowFields count="1">
    <field x="0"/>
  </rowFields>
  <rowItems count="49">
    <i>
      <x/>
    </i>
    <i>
      <x v="1"/>
    </i>
    <i>
      <x v="2"/>
    </i>
    <i>
      <x v="3"/>
    </i>
    <i>
      <x v="4"/>
    </i>
    <i>
      <x v="5"/>
    </i>
    <i>
      <x v="7"/>
    </i>
    <i>
      <x v="8"/>
    </i>
    <i>
      <x v="11"/>
    </i>
    <i>
      <x v="16"/>
    </i>
    <i>
      <x v="17"/>
    </i>
    <i>
      <x v="18"/>
    </i>
    <i>
      <x v="20"/>
    </i>
    <i>
      <x v="22"/>
    </i>
    <i>
      <x v="25"/>
    </i>
    <i>
      <x v="27"/>
    </i>
    <i>
      <x v="28"/>
    </i>
    <i>
      <x v="30"/>
    </i>
    <i>
      <x v="35"/>
    </i>
    <i>
      <x v="38"/>
    </i>
    <i>
      <x v="40"/>
    </i>
    <i>
      <x v="41"/>
    </i>
    <i>
      <x v="44"/>
    </i>
    <i>
      <x v="52"/>
    </i>
    <i>
      <x v="56"/>
    </i>
    <i>
      <x v="57"/>
    </i>
    <i>
      <x v="58"/>
    </i>
    <i>
      <x v="59"/>
    </i>
    <i>
      <x v="63"/>
    </i>
    <i>
      <x v="64"/>
    </i>
    <i>
      <x v="65"/>
    </i>
    <i>
      <x v="66"/>
    </i>
    <i>
      <x v="68"/>
    </i>
    <i>
      <x v="69"/>
    </i>
    <i>
      <x v="70"/>
    </i>
    <i>
      <x v="73"/>
    </i>
    <i>
      <x v="75"/>
    </i>
    <i>
      <x v="76"/>
    </i>
    <i>
      <x v="84"/>
    </i>
    <i>
      <x v="87"/>
    </i>
    <i>
      <x v="90"/>
    </i>
    <i>
      <x v="91"/>
    </i>
    <i>
      <x v="93"/>
    </i>
    <i>
      <x v="101"/>
    </i>
    <i>
      <x v="104"/>
    </i>
    <i>
      <x v="106"/>
    </i>
    <i>
      <x v="107"/>
    </i>
    <i>
      <x v="108"/>
    </i>
    <i t="grand">
      <x/>
    </i>
  </rowItems>
  <colItems count="1">
    <i/>
  </colItems>
  <dataFields count="1">
    <dataField name="Sum of Review"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4F5B05-C233-4A5A-A4B6-04FED5E50106}" autoFormatId="16" applyNumberFormats="0" applyBorderFormats="0" applyFontFormats="0" applyPatternFormats="0" applyAlignmentFormats="0" applyWidthHeightFormats="0">
  <queryTableRefresh nextId="7">
    <queryTableFields count="6">
      <queryTableField id="1" name="Product" tableColumnId="1"/>
      <queryTableField id="2" name="Current price" tableColumnId="2"/>
      <queryTableField id="3" name="old price" tableColumnId="3"/>
      <queryTableField id="4" name="Discount" tableColumnId="4"/>
      <queryTableField id="5" name="Review" tableColumnId="5"/>
      <queryTableField id="6" name="Rating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945E76B-01A3-47D5-BCBA-71FAA551B7F6}" autoFormatId="16" applyNumberFormats="0" applyBorderFormats="0" applyFontFormats="0" applyPatternFormats="0" applyAlignmentFormats="0" applyWidthHeightFormats="0">
  <queryTableRefresh nextId="18" unboundColumnsRight="8">
    <queryTableFields count="14">
      <queryTableField id="1" name="Product" tableColumnId="1"/>
      <queryTableField id="2" name="Formatted New Price" tableColumnId="2"/>
      <queryTableField id="3" name="Formatted Old Price" tableColumnId="3"/>
      <queryTableField id="4" name="Discount" tableColumnId="4"/>
      <queryTableField id="5" name="Review" tableColumnId="5"/>
      <queryTableField id="7" name="Rating" tableColumnId="7"/>
      <queryTableField id="12" dataBound="0" tableColumnId="11"/>
      <queryTableField id="8" dataBound="0" tableColumnId="6"/>
      <queryTableField id="9" dataBound="0" tableColumnId="8"/>
      <queryTableField id="15" dataBound="0" tableColumnId="14"/>
      <queryTableField id="10" dataBound="0" tableColumnId="9"/>
      <queryTableField id="11" dataBound="0" tableColumnId="10"/>
      <queryTableField id="14" dataBound="0" tableColumnId="13"/>
      <queryTableField id="16"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3E7EA698-B006-44F8-97F8-7E676087EDF8}" sourceName="Rating Category">
  <pivotTables>
    <pivotTable tabId="11" name="PivotTable1"/>
    <pivotTable tabId="12" name="PivotTable2"/>
    <pivotTable tabId="14" name="PivotTable4"/>
    <pivotTable tabId="13" name="PivotTable3"/>
    <pivotTable tabId="16" name="PivotTable6"/>
    <pivotTable tabId="15" name="PivotTable5"/>
    <pivotTable tabId="18" name="PivotTable26"/>
  </pivotTables>
  <data>
    <tabular pivotCacheId="491944642">
      <items count="5">
        <i x="2" s="1"/>
        <i x="0" s="1"/>
        <i x="4" s="1"/>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988C19DD-2D2C-461A-A829-9F8EA08C8212}" sourceName="Discount Category">
  <pivotTables>
    <pivotTable tabId="12" name="PivotTable2"/>
    <pivotTable tabId="14" name="PivotTable4"/>
    <pivotTable tabId="13" name="PivotTable3"/>
    <pivotTable tabId="11" name="PivotTable1"/>
    <pivotTable tabId="16" name="PivotTable6"/>
    <pivotTable tabId="15" name="PivotTable5"/>
    <pivotTable tabId="18" name="PivotTable26"/>
  </pivotTables>
  <data>
    <tabular pivotCacheId="491944642">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49225617-996D-4A0A-8C1D-D68F157F085E}" sourceName="Price Category">
  <pivotTables>
    <pivotTable tabId="13" name="PivotTable3"/>
    <pivotTable tabId="12" name="PivotTable2"/>
    <pivotTable tabId="14" name="PivotTable4"/>
    <pivotTable tabId="11" name="PivotTable1"/>
    <pivotTable tabId="16" name="PivotTable6"/>
    <pivotTable tabId="15" name="PivotTable5"/>
    <pivotTable tabId="18" name="PivotTable26"/>
  </pivotTables>
  <data>
    <tabular pivotCacheId="49194464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6C06886A-0E8B-4C07-9AF9-FEC8EEF7611A}" cache="Slicer_Rating_Category" caption="Rating 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5452076C-94A0-4810-A4C1-7640B858FB24}" cache="Slicer_Discount_Category" caption="Discount Categor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C87BAB21-B179-4765-A911-DD85D2F0E652}" cache="Slicer_Price_Category" caption="Price Category"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6C48437D-C08A-426C-9279-ACDE968F99B9}" cache="Slicer_Rating_Category" caption="Rating Category" rowHeight="257175"/>
  <slicer name="Discount Category 1" xr10:uid="{B07990E2-8377-46AB-BB61-C814730EE224}" cache="Slicer_Discount_Category" caption="Discount Category" rowHeight="257175"/>
  <slicer name="Price Category 1" xr10:uid="{9CF288E9-C9F0-4C3A-B8F9-38DF48CEDBF7}" cache="Slicer_Price_Category" caption="Price Categor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29D41F-4444-4409-BBDE-99A8EB590B20}" name="raw_data_table" displayName="raw_data_table" ref="A1:F117" tableType="queryTable" totalsRowCount="1">
  <autoFilter ref="A1:F116" xr:uid="{1629D41F-4444-4409-BBDE-99A8EB590B20}"/>
  <tableColumns count="6">
    <tableColumn id="1" xr3:uid="{BD88984C-C7CE-498E-B7FD-2781D2185E3A}" uniqueName="1" name="Product" queryTableFieldId="1" dataDxfId="31"/>
    <tableColumn id="2" xr3:uid="{C62647C1-765B-4720-84AA-C96213719DB7}" uniqueName="2" name="Current price" queryTableFieldId="2" dataDxfId="30"/>
    <tableColumn id="3" xr3:uid="{74594688-8837-4D61-AE48-5183EE4B9B91}" uniqueName="3" name="old price" queryTableFieldId="3" dataDxfId="29"/>
    <tableColumn id="4" xr3:uid="{C2275B36-5DCA-49D9-B975-A8D56505B342}" uniqueName="4" name="Discount" queryTableFieldId="4"/>
    <tableColumn id="5" xr3:uid="{7BDCD52B-05EB-4B6A-A252-6E0654516E38}" uniqueName="5" name="Review" totalsRowFunction="custom" queryTableFieldId="5">
      <totalsRowFormula>COUNTIFS(E2:E116,"&lt;1")</totalsRowFormula>
    </tableColumn>
    <tableColumn id="6" xr3:uid="{9E5B3DD1-415C-486C-82D8-D36528EBC931}" uniqueName="6" name="Ratingd" queryTableFieldId="6"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F014019-5074-4BAA-9A4B-3BE65EA3A674}" name="tblProducts" displayName="tblProducts" ref="A1:N113" tableType="queryTable" totalsRowShown="0">
  <autoFilter ref="A1:N113" xr:uid="{6F014019-5074-4BAA-9A4B-3BE65EA3A674}"/>
  <tableColumns count="14">
    <tableColumn id="1" xr3:uid="{7B765E9D-FB40-4DBD-9819-FEBC8117CE36}" uniqueName="1" name="Product" queryTableFieldId="1" dataDxfId="27" totalsRowDxfId="26"/>
    <tableColumn id="2" xr3:uid="{FFB13C9B-CD00-40A7-B6BF-681478728C70}" uniqueName="2" name="Current Price" queryTableFieldId="2" dataDxfId="25" totalsRowDxfId="24"/>
    <tableColumn id="3" xr3:uid="{76F0FDCE-C034-425C-B2F8-EF2F3F6C9A8C}" uniqueName="3" name="Old Price" queryTableFieldId="3" dataDxfId="23" totalsRowDxfId="22"/>
    <tableColumn id="4" xr3:uid="{EB9D7B45-05A2-4CF4-95B5-FCE35B32BA14}" uniqueName="4" name="Discount" queryTableFieldId="4" dataDxfId="21" totalsRowDxfId="20"/>
    <tableColumn id="5" xr3:uid="{177A7975-9296-4F36-ABE9-257108F0E33B}" uniqueName="5" name="Review" queryTableFieldId="5" dataDxfId="19" totalsRowDxfId="18"/>
    <tableColumn id="7" xr3:uid="{AABB2119-E4BF-452E-B12D-01BDAA680269}" uniqueName="7" name="Rating" queryTableFieldId="7" dataDxfId="17" totalsRowDxfId="16"/>
    <tableColumn id="11" xr3:uid="{9E345F65-94AB-41DE-B88C-E6CC2573E4D8}" uniqueName="11" name="Rating Status" queryTableFieldId="12" dataDxfId="15" totalsRowDxfId="14">
      <calculatedColumnFormula>IF(OR(tblProducts[[#This Row],[Rating]]&lt;0,tblProducts[[#This Row],[Rating]]&gt;5),"Check rating","OK")</calculatedColumnFormula>
    </tableColumn>
    <tableColumn id="6" xr3:uid="{042D8308-7F57-4A98-9D44-5302BAD0F539}" uniqueName="6" name="Discount Amount" queryTableFieldId="8" dataDxfId="13">
      <calculatedColumnFormula>(C2-B2)</calculatedColumnFormula>
    </tableColumn>
    <tableColumn id="8" xr3:uid="{B9CC652E-6AB7-4089-A249-2BA59956FA8A}" uniqueName="8" name="Rating Category" queryTableFieldId="9" dataDxfId="12">
      <calculatedColumnFormula>IF(ISBLANK(F2), "Rating not provided", IF(F2&lt;3,"Poor", IF(AND(F2&gt;=3, F2 &lt;=4),"Average", IF(F2&gt;=4.5,"Excellent", "Unclassified"))))</calculatedColumnFormula>
    </tableColumn>
    <tableColumn id="14" xr3:uid="{46723DCF-C607-4849-885B-921D37A21D73}" uniqueName="14" name="Discount Status" queryTableFieldId="15" dataDxfId="11">
      <calculatedColumnFormula>IF(OR(tblProducts[[#This Row],[Discount]]&lt;0,tblProducts[[#This Row],[Discount]]&gt;1),"Check discount","OK")</calculatedColumnFormula>
    </tableColumn>
    <tableColumn id="9" xr3:uid="{4F394F70-BD7A-4AAC-B3CF-8D23B3D7F268}" uniqueName="9" name="Discount Category" queryTableFieldId="10" dataDxfId="10">
      <calculatedColumnFormula>IF(ISBLANK(D2), "Missing", IF(D2&lt;20%, "Low Discount", IF(D2&lt;=40%, "Medium Discount", "High Discount")))</calculatedColumnFormula>
    </tableColumn>
    <tableColumn id="10" xr3:uid="{17531A9B-6688-4492-ABC6-09C35807AC05}" uniqueName="10" name="Price Category" queryTableFieldId="11" dataDxfId="9">
      <calculatedColumnFormula>IF(tblProducts[[#This Row],[Current Price]]="","Missing",IF(tblProducts[[#This Row],[Current Price]]&lt;=Price_Q1,"Low Price",IF(tblProducts[[#This Row],[Current Price]]&lt;=Price_Q3,"Medium Price","High Price")))</calculatedColumnFormula>
    </tableColumn>
    <tableColumn id="13" xr3:uid="{DBCB3F01-C23A-4BF2-9EEB-B999756A3CAA}" uniqueName="13" name="Price Check" queryTableFieldId="14" dataDxfId="8">
      <calculatedColumnFormula>IF(tblProducts[[#This Row],[Current Price]]&gt;tblProducts[[#This Row],[Old Price]],"Check prices","OK")</calculatedColumnFormula>
    </tableColumn>
    <tableColumn id="15" xr3:uid="{26B37C25-D369-462E-8501-48933C3042C7}" uniqueName="15" name="Customer Engagement" queryTableFieldId="16" dataDxfId="7">
      <calculatedColumnFormula>IF(tblProducts[[#This Row],[Review]]="","Missing",IF(tblProducts[[#This Row],[Review]]&gt;=Review_P75,"Strong Engagement","Normal"))</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C62F10-2734-4E04-B0E2-B74C63F32453}" name="Table2" displayName="Table2" ref="A1:E9" totalsRowShown="0" headerRowDxfId="6" dataDxfId="5">
  <autoFilter ref="A1:E9" xr:uid="{55C62F10-2734-4E04-B0E2-B74C63F32453}"/>
  <tableColumns count="5">
    <tableColumn id="1" xr3:uid="{829771EC-131D-43C4-878B-9881AFB88444}" name="No" dataDxfId="4"/>
    <tableColumn id="2" xr3:uid="{01026C6D-BCF7-49F3-9B75-30408D2DAA7D}" name="Issue" dataDxfId="3"/>
    <tableColumn id="3" xr3:uid="{1A0B7859-CE6C-4085-BDE5-136E8F3B7665}" name="Rows affected" dataDxfId="2"/>
    <tableColumn id="4" xr3:uid="{F5DAD1D5-86F6-4B08-A910-E7AACB6B0B0E}" name="Decision" dataDxfId="1"/>
    <tableColumn id="5" xr3:uid="{D919557D-841B-4CA3-8970-9A96EE1B3607}" name="Reas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77AC0-1BB8-4E31-A858-42179B0754F3}">
  <dimension ref="A1:F117"/>
  <sheetViews>
    <sheetView workbookViewId="0">
      <selection activeCell="A87" sqref="A87"/>
    </sheetView>
  </sheetViews>
  <sheetFormatPr defaultRowHeight="15" x14ac:dyDescent="0.25"/>
  <cols>
    <col min="1" max="1" width="81.140625" bestFit="1" customWidth="1"/>
    <col min="2" max="3" width="19.42578125" bestFit="1" customWidth="1"/>
    <col min="4" max="4" width="11.42578125" bestFit="1" customWidth="1"/>
    <col min="5" max="5" width="9.85546875" bestFit="1" customWidth="1"/>
    <col min="6" max="6" width="10.42578125" bestFit="1" customWidth="1"/>
  </cols>
  <sheetData>
    <row r="1" spans="1:6" x14ac:dyDescent="0.25">
      <c r="A1" t="s">
        <v>0</v>
      </c>
      <c r="B1" t="s">
        <v>1</v>
      </c>
      <c r="C1" t="s">
        <v>2</v>
      </c>
      <c r="D1" t="s">
        <v>3</v>
      </c>
      <c r="E1" t="s">
        <v>4</v>
      </c>
      <c r="F1" t="s">
        <v>5</v>
      </c>
    </row>
    <row r="2" spans="1:6" x14ac:dyDescent="0.25">
      <c r="A2" t="s">
        <v>6</v>
      </c>
      <c r="B2" t="s">
        <v>7</v>
      </c>
      <c r="C2" t="s">
        <v>8</v>
      </c>
      <c r="D2">
        <v>0.38</v>
      </c>
      <c r="E2">
        <v>-2</v>
      </c>
      <c r="F2" t="s">
        <v>9</v>
      </c>
    </row>
    <row r="3" spans="1:6" x14ac:dyDescent="0.25">
      <c r="A3" t="s">
        <v>10</v>
      </c>
      <c r="B3" t="s">
        <v>11</v>
      </c>
      <c r="C3" t="s">
        <v>12</v>
      </c>
      <c r="D3">
        <v>0.47</v>
      </c>
      <c r="E3">
        <v>-14</v>
      </c>
      <c r="F3" t="s">
        <v>13</v>
      </c>
    </row>
    <row r="4" spans="1:6" x14ac:dyDescent="0.25">
      <c r="A4" t="s">
        <v>14</v>
      </c>
      <c r="B4" t="s">
        <v>15</v>
      </c>
      <c r="C4" t="s">
        <v>16</v>
      </c>
      <c r="D4">
        <v>0.25</v>
      </c>
      <c r="E4">
        <v>-24</v>
      </c>
      <c r="F4" t="s">
        <v>17</v>
      </c>
    </row>
    <row r="5" spans="1:6" x14ac:dyDescent="0.25">
      <c r="A5" t="s">
        <v>18</v>
      </c>
      <c r="B5" t="s">
        <v>19</v>
      </c>
      <c r="C5" t="s">
        <v>20</v>
      </c>
      <c r="D5">
        <v>0.37</v>
      </c>
      <c r="E5">
        <v>-7</v>
      </c>
      <c r="F5" t="s">
        <v>21</v>
      </c>
    </row>
    <row r="6" spans="1:6" x14ac:dyDescent="0.25">
      <c r="A6" t="s">
        <v>22</v>
      </c>
      <c r="B6" t="s">
        <v>23</v>
      </c>
      <c r="C6" t="s">
        <v>24</v>
      </c>
      <c r="D6">
        <v>0.26</v>
      </c>
      <c r="E6">
        <v>-5</v>
      </c>
      <c r="F6" t="s">
        <v>25</v>
      </c>
    </row>
    <row r="7" spans="1:6" x14ac:dyDescent="0.25">
      <c r="A7" t="s">
        <v>26</v>
      </c>
      <c r="B7" t="s">
        <v>27</v>
      </c>
      <c r="C7" t="s">
        <v>28</v>
      </c>
      <c r="D7">
        <v>0.09</v>
      </c>
      <c r="E7">
        <v>-15</v>
      </c>
      <c r="F7" t="s">
        <v>29</v>
      </c>
    </row>
    <row r="8" spans="1:6" x14ac:dyDescent="0.25">
      <c r="A8" t="s">
        <v>30</v>
      </c>
      <c r="B8" t="s">
        <v>31</v>
      </c>
      <c r="C8" t="s">
        <v>32</v>
      </c>
      <c r="D8">
        <v>0.24</v>
      </c>
      <c r="E8">
        <v>-55</v>
      </c>
      <c r="F8" t="s">
        <v>17</v>
      </c>
    </row>
    <row r="9" spans="1:6" x14ac:dyDescent="0.25">
      <c r="A9" t="s">
        <v>33</v>
      </c>
      <c r="B9" t="s">
        <v>34</v>
      </c>
      <c r="C9" t="s">
        <v>19</v>
      </c>
      <c r="D9">
        <v>0.37</v>
      </c>
      <c r="E9">
        <v>-2</v>
      </c>
      <c r="F9" t="s">
        <v>29</v>
      </c>
    </row>
    <row r="10" spans="1:6" x14ac:dyDescent="0.25">
      <c r="A10" t="s">
        <v>35</v>
      </c>
      <c r="B10" t="s">
        <v>36</v>
      </c>
      <c r="C10" t="s">
        <v>37</v>
      </c>
      <c r="D10">
        <v>0.55000000000000004</v>
      </c>
      <c r="E10">
        <v>-5</v>
      </c>
      <c r="F10" t="s">
        <v>25</v>
      </c>
    </row>
    <row r="11" spans="1:6" x14ac:dyDescent="0.25">
      <c r="A11" t="s">
        <v>38</v>
      </c>
      <c r="B11" t="s">
        <v>39</v>
      </c>
      <c r="C11" t="s">
        <v>40</v>
      </c>
      <c r="D11">
        <v>0.45</v>
      </c>
      <c r="E11">
        <v>-5</v>
      </c>
      <c r="F11" t="s">
        <v>41</v>
      </c>
    </row>
    <row r="12" spans="1:6" x14ac:dyDescent="0.25">
      <c r="A12" t="s">
        <v>42</v>
      </c>
      <c r="B12" t="s">
        <v>43</v>
      </c>
      <c r="C12" t="s">
        <v>12</v>
      </c>
      <c r="D12">
        <v>0.2</v>
      </c>
      <c r="E12">
        <v>-12</v>
      </c>
      <c r="F12" t="s">
        <v>13</v>
      </c>
    </row>
    <row r="13" spans="1:6" x14ac:dyDescent="0.25">
      <c r="A13" t="s">
        <v>44</v>
      </c>
      <c r="B13" t="s">
        <v>45</v>
      </c>
      <c r="C13" t="s">
        <v>46</v>
      </c>
      <c r="D13">
        <v>0.34</v>
      </c>
      <c r="E13">
        <v>-39</v>
      </c>
      <c r="F13" t="s">
        <v>21</v>
      </c>
    </row>
    <row r="14" spans="1:6" x14ac:dyDescent="0.25">
      <c r="A14" t="s">
        <v>47</v>
      </c>
      <c r="B14" t="s">
        <v>48</v>
      </c>
      <c r="C14" t="s">
        <v>49</v>
      </c>
      <c r="D14">
        <v>0.47</v>
      </c>
      <c r="E14">
        <v>-12</v>
      </c>
      <c r="F14" t="s">
        <v>25</v>
      </c>
    </row>
    <row r="15" spans="1:6" x14ac:dyDescent="0.25">
      <c r="A15" t="s">
        <v>50</v>
      </c>
      <c r="B15" t="s">
        <v>51</v>
      </c>
      <c r="C15" t="s">
        <v>52</v>
      </c>
      <c r="D15">
        <v>0.42</v>
      </c>
      <c r="E15">
        <v>-6</v>
      </c>
      <c r="F15" t="s">
        <v>9</v>
      </c>
    </row>
    <row r="16" spans="1:6" x14ac:dyDescent="0.25">
      <c r="A16" t="s">
        <v>53</v>
      </c>
      <c r="B16" t="s">
        <v>54</v>
      </c>
      <c r="C16" t="s">
        <v>20</v>
      </c>
      <c r="D16">
        <v>0.33</v>
      </c>
      <c r="E16">
        <v>-9</v>
      </c>
      <c r="F16" t="s">
        <v>55</v>
      </c>
    </row>
    <row r="17" spans="1:6" x14ac:dyDescent="0.25">
      <c r="A17" t="s">
        <v>56</v>
      </c>
      <c r="B17" t="s">
        <v>57</v>
      </c>
      <c r="C17" t="s">
        <v>58</v>
      </c>
      <c r="D17">
        <v>0.51</v>
      </c>
      <c r="E17">
        <v>-2</v>
      </c>
      <c r="F17" t="s">
        <v>59</v>
      </c>
    </row>
    <row r="18" spans="1:6" x14ac:dyDescent="0.25">
      <c r="A18" t="s">
        <v>60</v>
      </c>
      <c r="B18" t="s">
        <v>61</v>
      </c>
      <c r="C18" t="s">
        <v>62</v>
      </c>
      <c r="D18">
        <v>0.46</v>
      </c>
      <c r="E18">
        <v>-2</v>
      </c>
      <c r="F18" t="s">
        <v>59</v>
      </c>
    </row>
    <row r="19" spans="1:6" x14ac:dyDescent="0.25">
      <c r="A19" t="s">
        <v>63</v>
      </c>
      <c r="B19" t="s">
        <v>64</v>
      </c>
      <c r="C19" t="s">
        <v>65</v>
      </c>
      <c r="D19">
        <v>0.49</v>
      </c>
      <c r="E19">
        <v>-3</v>
      </c>
      <c r="F19" t="s">
        <v>59</v>
      </c>
    </row>
    <row r="20" spans="1:6" x14ac:dyDescent="0.25">
      <c r="A20" t="s">
        <v>66</v>
      </c>
      <c r="B20" t="s">
        <v>27</v>
      </c>
      <c r="C20" t="s">
        <v>67</v>
      </c>
      <c r="D20">
        <v>0.19</v>
      </c>
      <c r="E20">
        <v>-5</v>
      </c>
      <c r="F20" t="s">
        <v>17</v>
      </c>
    </row>
    <row r="21" spans="1:6" x14ac:dyDescent="0.25">
      <c r="A21" t="s">
        <v>68</v>
      </c>
      <c r="B21" t="s">
        <v>69</v>
      </c>
      <c r="C21" t="s">
        <v>70</v>
      </c>
      <c r="D21">
        <v>0.49</v>
      </c>
      <c r="E21">
        <v>-44</v>
      </c>
      <c r="F21" t="s">
        <v>17</v>
      </c>
    </row>
    <row r="22" spans="1:6" x14ac:dyDescent="0.25">
      <c r="A22" t="s">
        <v>71</v>
      </c>
      <c r="B22" t="s">
        <v>72</v>
      </c>
      <c r="C22" t="s">
        <v>73</v>
      </c>
      <c r="D22">
        <v>0.53</v>
      </c>
      <c r="E22">
        <v>-13</v>
      </c>
      <c r="F22" t="s">
        <v>74</v>
      </c>
    </row>
    <row r="23" spans="1:6" x14ac:dyDescent="0.25">
      <c r="A23" t="s">
        <v>75</v>
      </c>
      <c r="B23" t="s">
        <v>76</v>
      </c>
      <c r="C23" t="s">
        <v>77</v>
      </c>
      <c r="D23">
        <v>0.42</v>
      </c>
      <c r="F23" t="s">
        <v>78</v>
      </c>
    </row>
    <row r="24" spans="1:6" x14ac:dyDescent="0.25">
      <c r="A24" t="s">
        <v>79</v>
      </c>
      <c r="B24" t="s">
        <v>80</v>
      </c>
      <c r="C24" t="s">
        <v>81</v>
      </c>
      <c r="D24">
        <v>0.35</v>
      </c>
      <c r="E24">
        <v>-6</v>
      </c>
      <c r="F24" t="s">
        <v>29</v>
      </c>
    </row>
    <row r="25" spans="1:6" x14ac:dyDescent="0.25">
      <c r="A25" t="s">
        <v>82</v>
      </c>
      <c r="B25" t="s">
        <v>83</v>
      </c>
      <c r="C25" t="s">
        <v>84</v>
      </c>
      <c r="D25">
        <v>0.23</v>
      </c>
      <c r="E25">
        <v>-14</v>
      </c>
      <c r="F25" t="s">
        <v>85</v>
      </c>
    </row>
    <row r="26" spans="1:6" x14ac:dyDescent="0.25">
      <c r="A26" t="s">
        <v>86</v>
      </c>
      <c r="B26" t="s">
        <v>87</v>
      </c>
      <c r="C26" t="s">
        <v>88</v>
      </c>
      <c r="D26">
        <v>0.54</v>
      </c>
      <c r="E26">
        <v>-7</v>
      </c>
      <c r="F26" t="s">
        <v>89</v>
      </c>
    </row>
    <row r="27" spans="1:6" x14ac:dyDescent="0.25">
      <c r="A27" t="s">
        <v>90</v>
      </c>
      <c r="B27" t="s">
        <v>91</v>
      </c>
      <c r="C27" t="s">
        <v>92</v>
      </c>
      <c r="D27">
        <v>0.35</v>
      </c>
      <c r="E27">
        <v>-49</v>
      </c>
      <c r="F27" t="s">
        <v>17</v>
      </c>
    </row>
    <row r="28" spans="1:6" x14ac:dyDescent="0.25">
      <c r="A28" t="s">
        <v>93</v>
      </c>
      <c r="B28" t="s">
        <v>94</v>
      </c>
      <c r="C28" t="s">
        <v>95</v>
      </c>
      <c r="D28">
        <v>0.18</v>
      </c>
      <c r="E28">
        <v>-12</v>
      </c>
      <c r="F28" t="s">
        <v>41</v>
      </c>
    </row>
    <row r="29" spans="1:6" x14ac:dyDescent="0.25">
      <c r="A29" t="s">
        <v>96</v>
      </c>
      <c r="B29" t="s">
        <v>81</v>
      </c>
      <c r="C29" t="s">
        <v>97</v>
      </c>
      <c r="D29">
        <v>0.32</v>
      </c>
      <c r="E29">
        <v>-13</v>
      </c>
      <c r="F29" t="s">
        <v>41</v>
      </c>
    </row>
    <row r="30" spans="1:6" x14ac:dyDescent="0.25">
      <c r="A30" t="s">
        <v>98</v>
      </c>
      <c r="B30" t="s">
        <v>99</v>
      </c>
      <c r="C30" t="s">
        <v>20</v>
      </c>
      <c r="D30">
        <v>0.3</v>
      </c>
      <c r="E30">
        <v>-20</v>
      </c>
      <c r="F30" t="s">
        <v>13</v>
      </c>
    </row>
    <row r="31" spans="1:6" x14ac:dyDescent="0.25">
      <c r="A31" t="s">
        <v>100</v>
      </c>
      <c r="B31" t="s">
        <v>101</v>
      </c>
      <c r="C31" t="s">
        <v>102</v>
      </c>
      <c r="D31">
        <v>0.46</v>
      </c>
      <c r="F31" t="s">
        <v>78</v>
      </c>
    </row>
    <row r="32" spans="1:6" x14ac:dyDescent="0.25">
      <c r="A32" t="s">
        <v>103</v>
      </c>
      <c r="B32" t="s">
        <v>104</v>
      </c>
      <c r="C32" t="s">
        <v>105</v>
      </c>
      <c r="D32">
        <v>0.52</v>
      </c>
      <c r="E32">
        <v>-9</v>
      </c>
      <c r="F32" t="s">
        <v>89</v>
      </c>
    </row>
    <row r="33" spans="1:6" x14ac:dyDescent="0.25">
      <c r="A33" t="s">
        <v>106</v>
      </c>
      <c r="B33" t="s">
        <v>107</v>
      </c>
      <c r="C33" t="s">
        <v>108</v>
      </c>
      <c r="D33">
        <v>0.34</v>
      </c>
      <c r="E33">
        <v>-12</v>
      </c>
      <c r="F33" t="s">
        <v>21</v>
      </c>
    </row>
    <row r="34" spans="1:6" x14ac:dyDescent="0.25">
      <c r="A34" t="s">
        <v>109</v>
      </c>
      <c r="B34" t="s">
        <v>110</v>
      </c>
      <c r="C34" t="s">
        <v>111</v>
      </c>
      <c r="D34">
        <v>0.48</v>
      </c>
      <c r="E34">
        <v>-9</v>
      </c>
      <c r="F34" t="s">
        <v>89</v>
      </c>
    </row>
    <row r="35" spans="1:6" x14ac:dyDescent="0.25">
      <c r="A35" t="s">
        <v>112</v>
      </c>
      <c r="B35" t="s">
        <v>113</v>
      </c>
      <c r="C35" t="s">
        <v>114</v>
      </c>
      <c r="D35">
        <v>0.27</v>
      </c>
      <c r="E35">
        <v>-20</v>
      </c>
      <c r="F35" t="s">
        <v>21</v>
      </c>
    </row>
    <row r="36" spans="1:6" x14ac:dyDescent="0.25">
      <c r="A36" t="s">
        <v>115</v>
      </c>
      <c r="B36" t="s">
        <v>116</v>
      </c>
      <c r="C36" t="s">
        <v>117</v>
      </c>
      <c r="D36">
        <v>0.27</v>
      </c>
      <c r="E36">
        <v>-32</v>
      </c>
      <c r="F36" t="s">
        <v>9</v>
      </c>
    </row>
    <row r="37" spans="1:6" x14ac:dyDescent="0.25">
      <c r="A37" t="s">
        <v>118</v>
      </c>
      <c r="B37" t="s">
        <v>119</v>
      </c>
      <c r="C37" t="s">
        <v>120</v>
      </c>
      <c r="D37">
        <v>0.4</v>
      </c>
      <c r="E37">
        <v>-1</v>
      </c>
      <c r="F37" t="s">
        <v>59</v>
      </c>
    </row>
    <row r="38" spans="1:6" x14ac:dyDescent="0.25">
      <c r="A38" t="s">
        <v>121</v>
      </c>
      <c r="B38" t="s">
        <v>122</v>
      </c>
      <c r="C38" t="s">
        <v>62</v>
      </c>
      <c r="D38">
        <v>0.53</v>
      </c>
      <c r="E38">
        <v>-2</v>
      </c>
      <c r="F38" t="s">
        <v>59</v>
      </c>
    </row>
    <row r="39" spans="1:6" x14ac:dyDescent="0.25">
      <c r="A39" t="s">
        <v>123</v>
      </c>
      <c r="B39" t="s">
        <v>124</v>
      </c>
      <c r="C39" t="s">
        <v>125</v>
      </c>
      <c r="D39">
        <v>0.41</v>
      </c>
      <c r="E39">
        <v>-36</v>
      </c>
      <c r="F39" t="s">
        <v>89</v>
      </c>
    </row>
    <row r="40" spans="1:6" x14ac:dyDescent="0.25">
      <c r="A40" t="s">
        <v>126</v>
      </c>
      <c r="B40" t="s">
        <v>127</v>
      </c>
      <c r="C40" t="s">
        <v>128</v>
      </c>
      <c r="D40">
        <v>0.38</v>
      </c>
      <c r="E40">
        <v>-2</v>
      </c>
      <c r="F40" t="s">
        <v>9</v>
      </c>
    </row>
    <row r="41" spans="1:6" x14ac:dyDescent="0.25">
      <c r="A41" t="s">
        <v>129</v>
      </c>
      <c r="B41" t="s">
        <v>130</v>
      </c>
      <c r="C41" t="s">
        <v>131</v>
      </c>
      <c r="D41">
        <v>0.38</v>
      </c>
      <c r="F41" t="s">
        <v>78</v>
      </c>
    </row>
    <row r="42" spans="1:6" x14ac:dyDescent="0.25">
      <c r="A42" t="s">
        <v>132</v>
      </c>
      <c r="B42" t="s">
        <v>133</v>
      </c>
      <c r="C42" t="s">
        <v>134</v>
      </c>
      <c r="D42">
        <v>0.49</v>
      </c>
      <c r="F42" t="s">
        <v>78</v>
      </c>
    </row>
    <row r="43" spans="1:6" x14ac:dyDescent="0.25">
      <c r="A43" t="s">
        <v>135</v>
      </c>
      <c r="B43" t="s">
        <v>136</v>
      </c>
      <c r="C43" t="s">
        <v>137</v>
      </c>
      <c r="D43">
        <v>0.5</v>
      </c>
      <c r="F43" t="s">
        <v>78</v>
      </c>
    </row>
    <row r="44" spans="1:6" x14ac:dyDescent="0.25">
      <c r="A44" t="s">
        <v>138</v>
      </c>
      <c r="B44" t="s">
        <v>139</v>
      </c>
      <c r="C44" t="s">
        <v>140</v>
      </c>
      <c r="D44">
        <v>0.42</v>
      </c>
      <c r="F44" t="s">
        <v>78</v>
      </c>
    </row>
    <row r="45" spans="1:6" x14ac:dyDescent="0.25">
      <c r="A45" t="s">
        <v>138</v>
      </c>
      <c r="B45" t="s">
        <v>139</v>
      </c>
      <c r="C45" t="s">
        <v>140</v>
      </c>
      <c r="D45">
        <v>0.42</v>
      </c>
      <c r="F45" t="s">
        <v>78</v>
      </c>
    </row>
    <row r="46" spans="1:6" x14ac:dyDescent="0.25">
      <c r="A46" t="s">
        <v>141</v>
      </c>
      <c r="B46" t="s">
        <v>142</v>
      </c>
      <c r="C46" t="s">
        <v>143</v>
      </c>
      <c r="D46">
        <v>0.02</v>
      </c>
      <c r="F46" t="s">
        <v>78</v>
      </c>
    </row>
    <row r="47" spans="1:6" x14ac:dyDescent="0.25">
      <c r="A47" t="s">
        <v>144</v>
      </c>
      <c r="B47" t="s">
        <v>12</v>
      </c>
      <c r="C47" t="s">
        <v>145</v>
      </c>
      <c r="D47">
        <v>0.5</v>
      </c>
      <c r="F47" t="s">
        <v>78</v>
      </c>
    </row>
    <row r="48" spans="1:6" x14ac:dyDescent="0.25">
      <c r="A48" t="s">
        <v>146</v>
      </c>
      <c r="B48" t="s">
        <v>147</v>
      </c>
      <c r="C48" t="s">
        <v>148</v>
      </c>
      <c r="D48">
        <v>0.33</v>
      </c>
      <c r="F48" t="s">
        <v>78</v>
      </c>
    </row>
    <row r="49" spans="1:6" x14ac:dyDescent="0.25">
      <c r="A49" t="s">
        <v>149</v>
      </c>
      <c r="B49" t="s">
        <v>150</v>
      </c>
      <c r="C49" t="s">
        <v>151</v>
      </c>
      <c r="D49">
        <v>0.49</v>
      </c>
      <c r="F49" t="s">
        <v>78</v>
      </c>
    </row>
    <row r="50" spans="1:6" x14ac:dyDescent="0.25">
      <c r="A50" t="s">
        <v>152</v>
      </c>
      <c r="B50" t="s">
        <v>153</v>
      </c>
      <c r="C50" t="s">
        <v>154</v>
      </c>
      <c r="D50">
        <v>0.38</v>
      </c>
      <c r="F50" t="s">
        <v>78</v>
      </c>
    </row>
    <row r="51" spans="1:6" x14ac:dyDescent="0.25">
      <c r="A51" t="s">
        <v>155</v>
      </c>
      <c r="B51" t="s">
        <v>156</v>
      </c>
      <c r="C51" t="s">
        <v>157</v>
      </c>
      <c r="D51">
        <v>0.61</v>
      </c>
      <c r="F51" t="s">
        <v>78</v>
      </c>
    </row>
    <row r="52" spans="1:6" x14ac:dyDescent="0.25">
      <c r="A52" t="s">
        <v>158</v>
      </c>
      <c r="B52" t="s">
        <v>159</v>
      </c>
      <c r="C52" t="s">
        <v>160</v>
      </c>
      <c r="D52">
        <v>0.5</v>
      </c>
      <c r="F52" t="s">
        <v>78</v>
      </c>
    </row>
    <row r="53" spans="1:6" x14ac:dyDescent="0.25">
      <c r="A53" t="s">
        <v>161</v>
      </c>
      <c r="B53" t="s">
        <v>162</v>
      </c>
      <c r="C53" t="s">
        <v>163</v>
      </c>
      <c r="D53">
        <v>0.02</v>
      </c>
      <c r="F53" t="s">
        <v>78</v>
      </c>
    </row>
    <row r="54" spans="1:6" x14ac:dyDescent="0.25">
      <c r="A54" t="s">
        <v>164</v>
      </c>
      <c r="B54" t="s">
        <v>159</v>
      </c>
      <c r="C54" t="s">
        <v>165</v>
      </c>
      <c r="D54">
        <v>0.22</v>
      </c>
      <c r="F54" t="s">
        <v>78</v>
      </c>
    </row>
    <row r="55" spans="1:6" x14ac:dyDescent="0.25">
      <c r="A55" t="s">
        <v>166</v>
      </c>
      <c r="B55" t="s">
        <v>167</v>
      </c>
      <c r="C55" t="s">
        <v>168</v>
      </c>
      <c r="D55">
        <v>0.03</v>
      </c>
      <c r="F55" t="s">
        <v>78</v>
      </c>
    </row>
    <row r="56" spans="1:6" x14ac:dyDescent="0.25">
      <c r="A56" t="s">
        <v>169</v>
      </c>
      <c r="B56" t="s">
        <v>43</v>
      </c>
      <c r="C56" t="s">
        <v>170</v>
      </c>
      <c r="D56">
        <v>0.41</v>
      </c>
      <c r="F56" t="s">
        <v>78</v>
      </c>
    </row>
    <row r="57" spans="1:6" x14ac:dyDescent="0.25">
      <c r="A57" t="s">
        <v>171</v>
      </c>
      <c r="B57" t="s">
        <v>172</v>
      </c>
      <c r="C57" t="s">
        <v>173</v>
      </c>
      <c r="D57">
        <v>0.45</v>
      </c>
      <c r="F57" t="s">
        <v>78</v>
      </c>
    </row>
    <row r="58" spans="1:6" x14ac:dyDescent="0.25">
      <c r="A58" t="s">
        <v>174</v>
      </c>
      <c r="B58" t="s">
        <v>175</v>
      </c>
      <c r="C58" t="s">
        <v>170</v>
      </c>
      <c r="D58">
        <v>0.48</v>
      </c>
      <c r="F58" t="s">
        <v>78</v>
      </c>
    </row>
    <row r="59" spans="1:6" x14ac:dyDescent="0.25">
      <c r="A59" t="s">
        <v>176</v>
      </c>
      <c r="B59" t="s">
        <v>43</v>
      </c>
      <c r="C59" t="s">
        <v>177</v>
      </c>
      <c r="D59">
        <v>0.49</v>
      </c>
      <c r="F59" t="s">
        <v>78</v>
      </c>
    </row>
    <row r="60" spans="1:6" x14ac:dyDescent="0.25">
      <c r="A60" t="s">
        <v>178</v>
      </c>
      <c r="B60" t="s">
        <v>179</v>
      </c>
      <c r="C60" t="s">
        <v>180</v>
      </c>
      <c r="D60">
        <v>0.27</v>
      </c>
      <c r="F60" t="s">
        <v>78</v>
      </c>
    </row>
    <row r="61" spans="1:6" x14ac:dyDescent="0.25">
      <c r="A61" t="s">
        <v>171</v>
      </c>
      <c r="B61" t="s">
        <v>181</v>
      </c>
      <c r="C61" t="s">
        <v>182</v>
      </c>
      <c r="D61">
        <v>0.55000000000000004</v>
      </c>
      <c r="F61" t="s">
        <v>78</v>
      </c>
    </row>
    <row r="62" spans="1:6" x14ac:dyDescent="0.25">
      <c r="A62" t="s">
        <v>183</v>
      </c>
      <c r="B62" t="s">
        <v>184</v>
      </c>
      <c r="C62" t="s">
        <v>185</v>
      </c>
      <c r="D62">
        <v>0.13</v>
      </c>
      <c r="E62">
        <v>-6</v>
      </c>
      <c r="F62" t="s">
        <v>186</v>
      </c>
    </row>
    <row r="63" spans="1:6" x14ac:dyDescent="0.25">
      <c r="A63" t="s">
        <v>187</v>
      </c>
      <c r="B63" t="s">
        <v>188</v>
      </c>
      <c r="C63" t="s">
        <v>189</v>
      </c>
      <c r="D63">
        <v>0.54</v>
      </c>
      <c r="E63">
        <v>-10</v>
      </c>
      <c r="F63" t="s">
        <v>190</v>
      </c>
    </row>
    <row r="64" spans="1:6" x14ac:dyDescent="0.25">
      <c r="A64" t="s">
        <v>191</v>
      </c>
      <c r="B64" t="s">
        <v>192</v>
      </c>
      <c r="C64" t="s">
        <v>193</v>
      </c>
      <c r="D64">
        <v>0.55000000000000004</v>
      </c>
      <c r="E64">
        <v>-13</v>
      </c>
      <c r="F64" t="s">
        <v>194</v>
      </c>
    </row>
    <row r="65" spans="1:6" x14ac:dyDescent="0.25">
      <c r="A65" t="s">
        <v>195</v>
      </c>
      <c r="B65" t="s">
        <v>196</v>
      </c>
      <c r="C65" t="s">
        <v>197</v>
      </c>
      <c r="D65">
        <v>0.49</v>
      </c>
      <c r="E65">
        <v>-69</v>
      </c>
      <c r="F65" t="s">
        <v>198</v>
      </c>
    </row>
    <row r="66" spans="1:6" x14ac:dyDescent="0.25">
      <c r="A66" t="s">
        <v>199</v>
      </c>
      <c r="B66" t="s">
        <v>200</v>
      </c>
      <c r="C66" t="s">
        <v>201</v>
      </c>
      <c r="D66">
        <v>0.52</v>
      </c>
      <c r="E66">
        <v>-15</v>
      </c>
      <c r="F66" t="s">
        <v>202</v>
      </c>
    </row>
    <row r="67" spans="1:6" x14ac:dyDescent="0.25">
      <c r="A67" t="s">
        <v>203</v>
      </c>
      <c r="B67" t="s">
        <v>204</v>
      </c>
      <c r="C67" t="s">
        <v>205</v>
      </c>
      <c r="D67">
        <v>0.22</v>
      </c>
      <c r="E67">
        <v>-16</v>
      </c>
      <c r="F67" t="s">
        <v>206</v>
      </c>
    </row>
    <row r="68" spans="1:6" x14ac:dyDescent="0.25">
      <c r="A68" t="s">
        <v>207</v>
      </c>
      <c r="B68" t="s">
        <v>45</v>
      </c>
      <c r="C68" t="s">
        <v>208</v>
      </c>
      <c r="D68">
        <v>0.45</v>
      </c>
      <c r="E68">
        <v>-6</v>
      </c>
      <c r="F68" t="s">
        <v>209</v>
      </c>
    </row>
    <row r="69" spans="1:6" x14ac:dyDescent="0.25">
      <c r="A69" t="s">
        <v>210</v>
      </c>
      <c r="B69" t="s">
        <v>211</v>
      </c>
      <c r="C69" t="s">
        <v>145</v>
      </c>
      <c r="D69">
        <v>0.5</v>
      </c>
      <c r="E69">
        <v>-7</v>
      </c>
      <c r="F69" t="s">
        <v>212</v>
      </c>
    </row>
    <row r="70" spans="1:6" x14ac:dyDescent="0.25">
      <c r="A70" t="s">
        <v>213</v>
      </c>
      <c r="B70" t="s">
        <v>214</v>
      </c>
      <c r="C70" t="s">
        <v>215</v>
      </c>
      <c r="D70">
        <v>0.39</v>
      </c>
      <c r="E70">
        <v>-5</v>
      </c>
      <c r="F70" t="s">
        <v>190</v>
      </c>
    </row>
    <row r="71" spans="1:6" x14ac:dyDescent="0.25">
      <c r="A71" t="s">
        <v>216</v>
      </c>
      <c r="B71" t="s">
        <v>105</v>
      </c>
      <c r="C71" t="s">
        <v>217</v>
      </c>
      <c r="D71">
        <v>0.45</v>
      </c>
      <c r="E71">
        <v>-17</v>
      </c>
      <c r="F71" t="s">
        <v>218</v>
      </c>
    </row>
    <row r="72" spans="1:6" x14ac:dyDescent="0.25">
      <c r="A72" t="s">
        <v>219</v>
      </c>
      <c r="B72" t="s">
        <v>220</v>
      </c>
      <c r="C72" t="s">
        <v>221</v>
      </c>
      <c r="D72">
        <v>0.28999999999999998</v>
      </c>
      <c r="E72">
        <v>-5</v>
      </c>
      <c r="F72" t="s">
        <v>190</v>
      </c>
    </row>
    <row r="73" spans="1:6" x14ac:dyDescent="0.25">
      <c r="A73" t="s">
        <v>222</v>
      </c>
      <c r="B73" t="s">
        <v>223</v>
      </c>
      <c r="C73" t="s">
        <v>224</v>
      </c>
      <c r="D73">
        <v>0.43</v>
      </c>
      <c r="E73">
        <v>-6</v>
      </c>
      <c r="F73" t="s">
        <v>212</v>
      </c>
    </row>
    <row r="74" spans="1:6" x14ac:dyDescent="0.25">
      <c r="A74" t="s">
        <v>225</v>
      </c>
      <c r="B74" t="s">
        <v>226</v>
      </c>
      <c r="C74" t="s">
        <v>227</v>
      </c>
      <c r="D74">
        <v>0.43</v>
      </c>
      <c r="E74">
        <v>-5</v>
      </c>
      <c r="F74" t="s">
        <v>190</v>
      </c>
    </row>
    <row r="75" spans="1:6" x14ac:dyDescent="0.25">
      <c r="A75" t="s">
        <v>228</v>
      </c>
      <c r="B75" t="s">
        <v>229</v>
      </c>
      <c r="C75" t="s">
        <v>208</v>
      </c>
      <c r="D75">
        <v>0.47</v>
      </c>
      <c r="E75">
        <v>-6</v>
      </c>
      <c r="F75" t="s">
        <v>209</v>
      </c>
    </row>
    <row r="76" spans="1:6" x14ac:dyDescent="0.25">
      <c r="A76" t="s">
        <v>230</v>
      </c>
      <c r="B76" t="s">
        <v>231</v>
      </c>
      <c r="C76" t="s">
        <v>232</v>
      </c>
      <c r="D76">
        <v>0.47</v>
      </c>
      <c r="E76">
        <v>-7</v>
      </c>
      <c r="F76" t="s">
        <v>194</v>
      </c>
    </row>
    <row r="77" spans="1:6" x14ac:dyDescent="0.25">
      <c r="A77" t="s">
        <v>233</v>
      </c>
      <c r="B77" t="s">
        <v>234</v>
      </c>
      <c r="C77" t="s">
        <v>235</v>
      </c>
      <c r="D77">
        <v>0.47</v>
      </c>
      <c r="F77" t="s">
        <v>78</v>
      </c>
    </row>
    <row r="78" spans="1:6" x14ac:dyDescent="0.25">
      <c r="A78" t="s">
        <v>236</v>
      </c>
      <c r="B78" t="s">
        <v>237</v>
      </c>
      <c r="C78" t="s">
        <v>153</v>
      </c>
      <c r="D78">
        <v>0.43</v>
      </c>
      <c r="F78" t="s">
        <v>78</v>
      </c>
    </row>
    <row r="79" spans="1:6" x14ac:dyDescent="0.25">
      <c r="A79" t="s">
        <v>238</v>
      </c>
      <c r="B79" t="s">
        <v>239</v>
      </c>
      <c r="C79" t="s">
        <v>240</v>
      </c>
      <c r="D79">
        <v>0.04</v>
      </c>
      <c r="F79" t="s">
        <v>78</v>
      </c>
    </row>
    <row r="80" spans="1:6" x14ac:dyDescent="0.25">
      <c r="A80" t="s">
        <v>241</v>
      </c>
      <c r="B80" t="s">
        <v>242</v>
      </c>
      <c r="C80" t="s">
        <v>243</v>
      </c>
      <c r="D80">
        <v>0.49</v>
      </c>
      <c r="F80" t="s">
        <v>78</v>
      </c>
    </row>
    <row r="81" spans="1:6" x14ac:dyDescent="0.25">
      <c r="A81" t="s">
        <v>244</v>
      </c>
      <c r="B81" t="s">
        <v>245</v>
      </c>
      <c r="C81" t="s">
        <v>15</v>
      </c>
      <c r="D81">
        <v>0.46</v>
      </c>
      <c r="E81">
        <v>-1</v>
      </c>
      <c r="F81" t="s">
        <v>190</v>
      </c>
    </row>
    <row r="82" spans="1:6" x14ac:dyDescent="0.25">
      <c r="A82" t="s">
        <v>246</v>
      </c>
      <c r="B82" t="s">
        <v>247</v>
      </c>
      <c r="C82" t="s">
        <v>248</v>
      </c>
      <c r="D82">
        <v>0.49</v>
      </c>
      <c r="E82">
        <v>-1</v>
      </c>
      <c r="F82" t="s">
        <v>59</v>
      </c>
    </row>
    <row r="83" spans="1:6" x14ac:dyDescent="0.25">
      <c r="A83" t="s">
        <v>249</v>
      </c>
      <c r="B83" t="s">
        <v>250</v>
      </c>
      <c r="C83" t="s">
        <v>251</v>
      </c>
      <c r="D83">
        <v>0.36</v>
      </c>
      <c r="F83" t="s">
        <v>78</v>
      </c>
    </row>
    <row r="84" spans="1:6" x14ac:dyDescent="0.25">
      <c r="A84" t="s">
        <v>252</v>
      </c>
      <c r="B84" t="s">
        <v>253</v>
      </c>
      <c r="C84" t="s">
        <v>163</v>
      </c>
      <c r="D84">
        <v>0.02</v>
      </c>
      <c r="F84" t="s">
        <v>78</v>
      </c>
    </row>
    <row r="85" spans="1:6" x14ac:dyDescent="0.25">
      <c r="A85" t="s">
        <v>254</v>
      </c>
      <c r="B85" t="s">
        <v>255</v>
      </c>
      <c r="C85" t="s">
        <v>92</v>
      </c>
      <c r="D85">
        <v>0.49</v>
      </c>
      <c r="E85">
        <v>-1</v>
      </c>
      <c r="F85" t="s">
        <v>29</v>
      </c>
    </row>
    <row r="86" spans="1:6" x14ac:dyDescent="0.25">
      <c r="A86" t="s">
        <v>138</v>
      </c>
      <c r="B86" t="s">
        <v>139</v>
      </c>
      <c r="C86" t="s">
        <v>140</v>
      </c>
      <c r="D86">
        <v>0.42</v>
      </c>
      <c r="F86" t="s">
        <v>78</v>
      </c>
    </row>
    <row r="87" spans="1:6" x14ac:dyDescent="0.25">
      <c r="A87" t="s">
        <v>155</v>
      </c>
      <c r="B87" t="s">
        <v>256</v>
      </c>
      <c r="C87" t="s">
        <v>223</v>
      </c>
      <c r="D87">
        <v>0.49</v>
      </c>
      <c r="F87" t="s">
        <v>78</v>
      </c>
    </row>
    <row r="88" spans="1:6" x14ac:dyDescent="0.25">
      <c r="A88" t="s">
        <v>257</v>
      </c>
      <c r="B88" t="s">
        <v>258</v>
      </c>
      <c r="C88" t="s">
        <v>163</v>
      </c>
      <c r="D88">
        <v>0.14000000000000001</v>
      </c>
      <c r="F88" t="s">
        <v>78</v>
      </c>
    </row>
    <row r="89" spans="1:6" x14ac:dyDescent="0.25">
      <c r="A89" t="s">
        <v>259</v>
      </c>
      <c r="B89" t="s">
        <v>260</v>
      </c>
      <c r="C89" t="s">
        <v>261</v>
      </c>
      <c r="D89">
        <v>0.49</v>
      </c>
      <c r="F89" t="s">
        <v>78</v>
      </c>
    </row>
    <row r="90" spans="1:6" x14ac:dyDescent="0.25">
      <c r="A90" t="s">
        <v>262</v>
      </c>
      <c r="B90" t="s">
        <v>43</v>
      </c>
      <c r="C90" t="s">
        <v>173</v>
      </c>
      <c r="D90">
        <v>0.11</v>
      </c>
      <c r="F90" t="s">
        <v>78</v>
      </c>
    </row>
    <row r="91" spans="1:6" x14ac:dyDescent="0.25">
      <c r="A91" t="s">
        <v>176</v>
      </c>
      <c r="B91" t="s">
        <v>263</v>
      </c>
      <c r="C91" t="s">
        <v>264</v>
      </c>
      <c r="D91">
        <v>0.49</v>
      </c>
      <c r="F91" t="s">
        <v>78</v>
      </c>
    </row>
    <row r="92" spans="1:6" x14ac:dyDescent="0.25">
      <c r="A92" t="s">
        <v>265</v>
      </c>
      <c r="B92" t="s">
        <v>266</v>
      </c>
      <c r="C92" t="s">
        <v>163</v>
      </c>
      <c r="D92">
        <v>0.14000000000000001</v>
      </c>
      <c r="F92" t="s">
        <v>78</v>
      </c>
    </row>
    <row r="93" spans="1:6" x14ac:dyDescent="0.25">
      <c r="A93" t="s">
        <v>267</v>
      </c>
      <c r="B93" t="s">
        <v>268</v>
      </c>
      <c r="C93" t="s">
        <v>269</v>
      </c>
      <c r="D93">
        <v>0.43</v>
      </c>
      <c r="F93" t="s">
        <v>78</v>
      </c>
    </row>
    <row r="94" spans="1:6" x14ac:dyDescent="0.25">
      <c r="A94" t="s">
        <v>270</v>
      </c>
      <c r="B94" t="s">
        <v>271</v>
      </c>
      <c r="C94" t="s">
        <v>272</v>
      </c>
      <c r="D94">
        <v>0.5</v>
      </c>
      <c r="F94" t="s">
        <v>78</v>
      </c>
    </row>
    <row r="95" spans="1:6" x14ac:dyDescent="0.25">
      <c r="A95" t="s">
        <v>273</v>
      </c>
      <c r="B95" t="s">
        <v>274</v>
      </c>
      <c r="C95" t="s">
        <v>185</v>
      </c>
      <c r="D95">
        <v>0.48</v>
      </c>
      <c r="F95" t="s">
        <v>78</v>
      </c>
    </row>
    <row r="96" spans="1:6" x14ac:dyDescent="0.25">
      <c r="A96" t="s">
        <v>275</v>
      </c>
      <c r="B96" t="s">
        <v>276</v>
      </c>
      <c r="C96" t="s">
        <v>277</v>
      </c>
      <c r="D96">
        <v>0.48</v>
      </c>
      <c r="F96" t="s">
        <v>78</v>
      </c>
    </row>
    <row r="97" spans="1:6" x14ac:dyDescent="0.25">
      <c r="A97" t="s">
        <v>278</v>
      </c>
      <c r="B97" t="s">
        <v>227</v>
      </c>
      <c r="C97" t="s">
        <v>163</v>
      </c>
      <c r="D97">
        <v>0.47</v>
      </c>
      <c r="F97" t="s">
        <v>78</v>
      </c>
    </row>
    <row r="98" spans="1:6" x14ac:dyDescent="0.25">
      <c r="A98" t="s">
        <v>278</v>
      </c>
      <c r="B98" t="s">
        <v>227</v>
      </c>
      <c r="C98" t="s">
        <v>163</v>
      </c>
      <c r="D98">
        <v>0.47</v>
      </c>
      <c r="F98" t="s">
        <v>78</v>
      </c>
    </row>
    <row r="99" spans="1:6" x14ac:dyDescent="0.25">
      <c r="A99" t="s">
        <v>279</v>
      </c>
      <c r="B99" t="s">
        <v>153</v>
      </c>
      <c r="C99" t="s">
        <v>280</v>
      </c>
      <c r="D99">
        <v>0.5</v>
      </c>
      <c r="F99" t="s">
        <v>78</v>
      </c>
    </row>
    <row r="100" spans="1:6" x14ac:dyDescent="0.25">
      <c r="A100" t="s">
        <v>281</v>
      </c>
      <c r="B100" t="s">
        <v>282</v>
      </c>
      <c r="C100" t="s">
        <v>162</v>
      </c>
      <c r="D100">
        <v>0.08</v>
      </c>
      <c r="F100" t="s">
        <v>78</v>
      </c>
    </row>
    <row r="101" spans="1:6" x14ac:dyDescent="0.25">
      <c r="A101" t="s">
        <v>283</v>
      </c>
      <c r="B101" t="s">
        <v>284</v>
      </c>
      <c r="C101" t="s">
        <v>168</v>
      </c>
      <c r="D101">
        <v>0.02</v>
      </c>
      <c r="F101" t="s">
        <v>78</v>
      </c>
    </row>
    <row r="102" spans="1:6" x14ac:dyDescent="0.25">
      <c r="A102" t="s">
        <v>285</v>
      </c>
      <c r="B102" t="s">
        <v>286</v>
      </c>
      <c r="C102" t="s">
        <v>287</v>
      </c>
      <c r="D102">
        <v>0.49</v>
      </c>
      <c r="F102" t="s">
        <v>78</v>
      </c>
    </row>
    <row r="103" spans="1:6" x14ac:dyDescent="0.25">
      <c r="A103" t="s">
        <v>288</v>
      </c>
      <c r="B103" t="s">
        <v>289</v>
      </c>
      <c r="C103" t="s">
        <v>67</v>
      </c>
      <c r="D103">
        <v>0.04</v>
      </c>
      <c r="F103" t="s">
        <v>78</v>
      </c>
    </row>
    <row r="104" spans="1:6" x14ac:dyDescent="0.25">
      <c r="A104" t="s">
        <v>290</v>
      </c>
      <c r="B104" t="s">
        <v>291</v>
      </c>
      <c r="C104" t="s">
        <v>292</v>
      </c>
      <c r="D104">
        <v>0.49</v>
      </c>
      <c r="F104" t="s">
        <v>78</v>
      </c>
    </row>
    <row r="105" spans="1:6" x14ac:dyDescent="0.25">
      <c r="A105" t="s">
        <v>293</v>
      </c>
      <c r="B105" t="s">
        <v>294</v>
      </c>
      <c r="C105" t="s">
        <v>295</v>
      </c>
      <c r="D105">
        <v>0.42</v>
      </c>
      <c r="F105" t="s">
        <v>78</v>
      </c>
    </row>
    <row r="106" spans="1:6" x14ac:dyDescent="0.25">
      <c r="A106" t="s">
        <v>296</v>
      </c>
      <c r="B106" t="s">
        <v>297</v>
      </c>
      <c r="C106" t="s">
        <v>298</v>
      </c>
      <c r="D106">
        <v>0.21</v>
      </c>
      <c r="E106">
        <v>-1</v>
      </c>
      <c r="F106" t="s">
        <v>59</v>
      </c>
    </row>
    <row r="107" spans="1:6" x14ac:dyDescent="0.25">
      <c r="A107" t="s">
        <v>299</v>
      </c>
      <c r="B107" t="s">
        <v>300</v>
      </c>
      <c r="C107" t="s">
        <v>301</v>
      </c>
      <c r="D107">
        <v>0.41</v>
      </c>
      <c r="F107" t="s">
        <v>78</v>
      </c>
    </row>
    <row r="108" spans="1:6" x14ac:dyDescent="0.25">
      <c r="A108" t="s">
        <v>302</v>
      </c>
      <c r="B108" t="s">
        <v>303</v>
      </c>
      <c r="C108" t="s">
        <v>304</v>
      </c>
      <c r="D108">
        <v>0.01</v>
      </c>
      <c r="F108" t="s">
        <v>78</v>
      </c>
    </row>
    <row r="109" spans="1:6" x14ac:dyDescent="0.25">
      <c r="A109" t="s">
        <v>305</v>
      </c>
      <c r="B109" t="s">
        <v>306</v>
      </c>
      <c r="C109" t="s">
        <v>307</v>
      </c>
      <c r="D109">
        <v>0.24</v>
      </c>
      <c r="F109" t="s">
        <v>78</v>
      </c>
    </row>
    <row r="110" spans="1:6" x14ac:dyDescent="0.25">
      <c r="A110" t="s">
        <v>308</v>
      </c>
      <c r="B110" t="s">
        <v>309</v>
      </c>
      <c r="C110" t="s">
        <v>310</v>
      </c>
      <c r="D110">
        <v>0.34</v>
      </c>
      <c r="F110" t="s">
        <v>78</v>
      </c>
    </row>
    <row r="111" spans="1:6" x14ac:dyDescent="0.25">
      <c r="A111" t="s">
        <v>311</v>
      </c>
      <c r="B111" t="s">
        <v>147</v>
      </c>
      <c r="C111" t="s">
        <v>312</v>
      </c>
      <c r="D111">
        <v>0.34</v>
      </c>
      <c r="F111" t="s">
        <v>78</v>
      </c>
    </row>
    <row r="112" spans="1:6" x14ac:dyDescent="0.25">
      <c r="A112" t="s">
        <v>313</v>
      </c>
      <c r="B112" t="s">
        <v>314</v>
      </c>
      <c r="C112" t="s">
        <v>163</v>
      </c>
      <c r="D112">
        <v>0.02</v>
      </c>
      <c r="F112" t="s">
        <v>78</v>
      </c>
    </row>
    <row r="113" spans="1:6" x14ac:dyDescent="0.25">
      <c r="A113" t="s">
        <v>315</v>
      </c>
      <c r="B113" t="s">
        <v>316</v>
      </c>
      <c r="C113" t="s">
        <v>240</v>
      </c>
      <c r="D113">
        <v>0.02</v>
      </c>
      <c r="F113" t="s">
        <v>78</v>
      </c>
    </row>
    <row r="114" spans="1:6" x14ac:dyDescent="0.25">
      <c r="A114" t="s">
        <v>317</v>
      </c>
      <c r="B114" t="s">
        <v>156</v>
      </c>
      <c r="C114" t="s">
        <v>318</v>
      </c>
      <c r="D114">
        <v>0.64</v>
      </c>
      <c r="F114" t="s">
        <v>78</v>
      </c>
    </row>
    <row r="115" spans="1:6" x14ac:dyDescent="0.25">
      <c r="A115" t="s">
        <v>319</v>
      </c>
      <c r="B115" t="s">
        <v>243</v>
      </c>
      <c r="C115" t="s">
        <v>173</v>
      </c>
      <c r="D115">
        <v>0.5</v>
      </c>
      <c r="E115">
        <v>-1</v>
      </c>
      <c r="F115" t="s">
        <v>320</v>
      </c>
    </row>
    <row r="116" spans="1:6" x14ac:dyDescent="0.25">
      <c r="A116" t="s">
        <v>321</v>
      </c>
      <c r="B116" t="s">
        <v>322</v>
      </c>
      <c r="C116" t="s">
        <v>323</v>
      </c>
      <c r="D116">
        <v>0.47</v>
      </c>
      <c r="F116" t="s">
        <v>78</v>
      </c>
    </row>
    <row r="117" spans="1:6" x14ac:dyDescent="0.25">
      <c r="E117">
        <f>COUNTIFS(E2:E116,"&lt;1")</f>
        <v>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F6246-B150-45A7-8C5F-48ABDD80DF2E}">
  <dimension ref="A1:F15"/>
  <sheetViews>
    <sheetView workbookViewId="0">
      <selection activeCell="C6" sqref="C6"/>
    </sheetView>
  </sheetViews>
  <sheetFormatPr defaultRowHeight="15" x14ac:dyDescent="0.25"/>
  <cols>
    <col min="1" max="1" width="2.85546875" bestFit="1" customWidth="1"/>
    <col min="2" max="2" width="34.28515625" bestFit="1" customWidth="1"/>
  </cols>
  <sheetData>
    <row r="1" spans="1:6" x14ac:dyDescent="0.25">
      <c r="B1" s="21" t="s">
        <v>324</v>
      </c>
      <c r="C1" s="21"/>
    </row>
    <row r="2" spans="1:6" ht="15.75" x14ac:dyDescent="0.25">
      <c r="A2" s="1"/>
      <c r="B2" s="2" t="s">
        <v>339</v>
      </c>
      <c r="C2" s="2" t="s">
        <v>338</v>
      </c>
      <c r="D2" s="1"/>
      <c r="E2" s="1"/>
      <c r="F2" s="1"/>
    </row>
    <row r="3" spans="1:6" x14ac:dyDescent="0.25">
      <c r="A3" s="3">
        <v>1</v>
      </c>
      <c r="B3" t="s">
        <v>325</v>
      </c>
      <c r="C3" s="3">
        <v>115</v>
      </c>
    </row>
    <row r="4" spans="1:6" x14ac:dyDescent="0.25">
      <c r="A4" s="3">
        <v>2</v>
      </c>
      <c r="B4" t="s">
        <v>326</v>
      </c>
      <c r="C4" s="3">
        <v>6</v>
      </c>
    </row>
    <row r="5" spans="1:6" x14ac:dyDescent="0.25">
      <c r="A5" s="3">
        <v>3</v>
      </c>
      <c r="B5" t="s">
        <v>327</v>
      </c>
      <c r="C5" s="3">
        <v>6</v>
      </c>
    </row>
    <row r="6" spans="1:6" x14ac:dyDescent="0.25">
      <c r="A6" s="3">
        <v>4</v>
      </c>
      <c r="B6" t="s">
        <v>328</v>
      </c>
      <c r="C6" s="3" t="s">
        <v>0</v>
      </c>
    </row>
    <row r="7" spans="1:6" x14ac:dyDescent="0.25">
      <c r="A7" s="3">
        <v>5</v>
      </c>
      <c r="B7" t="s">
        <v>329</v>
      </c>
      <c r="C7" s="3">
        <v>230</v>
      </c>
    </row>
    <row r="8" spans="1:6" x14ac:dyDescent="0.25">
      <c r="A8" s="3">
        <v>6</v>
      </c>
      <c r="B8" t="s">
        <v>330</v>
      </c>
      <c r="C8" s="3">
        <v>0</v>
      </c>
    </row>
    <row r="9" spans="1:6" x14ac:dyDescent="0.25">
      <c r="A9" s="3">
        <v>7</v>
      </c>
      <c r="B9" t="s">
        <v>331</v>
      </c>
      <c r="C9" s="3">
        <v>0</v>
      </c>
    </row>
    <row r="10" spans="1:6" x14ac:dyDescent="0.25">
      <c r="A10" s="3">
        <v>8</v>
      </c>
      <c r="B10" t="s">
        <v>332</v>
      </c>
      <c r="C10" s="3">
        <v>57</v>
      </c>
    </row>
    <row r="11" spans="1:6" x14ac:dyDescent="0.25">
      <c r="A11" s="3">
        <v>9</v>
      </c>
      <c r="B11" t="s">
        <v>333</v>
      </c>
      <c r="C11" s="3">
        <v>0</v>
      </c>
    </row>
    <row r="12" spans="1:6" x14ac:dyDescent="0.25">
      <c r="A12" s="3">
        <v>10</v>
      </c>
      <c r="B12" t="s">
        <v>334</v>
      </c>
      <c r="C12" s="3">
        <v>0</v>
      </c>
    </row>
    <row r="13" spans="1:6" x14ac:dyDescent="0.25">
      <c r="A13" s="3">
        <v>11</v>
      </c>
      <c r="B13" t="s">
        <v>335</v>
      </c>
      <c r="C13" s="3">
        <v>57</v>
      </c>
    </row>
    <row r="14" spans="1:6" x14ac:dyDescent="0.25">
      <c r="A14" s="3">
        <v>12</v>
      </c>
      <c r="B14" t="s">
        <v>336</v>
      </c>
      <c r="C14" s="3">
        <v>0</v>
      </c>
    </row>
    <row r="15" spans="1:6" x14ac:dyDescent="0.25">
      <c r="A15" s="3">
        <v>13</v>
      </c>
      <c r="B15" t="s">
        <v>337</v>
      </c>
      <c r="C15" s="3">
        <v>0</v>
      </c>
    </row>
  </sheetData>
  <mergeCells count="1">
    <mergeCell ref="B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F7802-3EB6-4764-9907-C03544C91C22}">
  <dimension ref="A3:B7"/>
  <sheetViews>
    <sheetView tabSelected="1" workbookViewId="0">
      <selection activeCell="H20" sqref="H20"/>
    </sheetView>
  </sheetViews>
  <sheetFormatPr defaultRowHeight="15" x14ac:dyDescent="0.25"/>
  <cols>
    <col min="1" max="1" width="13.42578125" bestFit="1" customWidth="1"/>
    <col min="2" max="2" width="16.42578125" bestFit="1" customWidth="1"/>
  </cols>
  <sheetData>
    <row r="3" spans="1:2" x14ac:dyDescent="0.25">
      <c r="A3" s="12" t="s">
        <v>397</v>
      </c>
      <c r="B3" t="s">
        <v>410</v>
      </c>
    </row>
    <row r="4" spans="1:2" x14ac:dyDescent="0.25">
      <c r="A4" s="3" t="s">
        <v>407</v>
      </c>
      <c r="B4">
        <v>13</v>
      </c>
    </row>
    <row r="5" spans="1:2" x14ac:dyDescent="0.25">
      <c r="A5" s="3" t="s">
        <v>408</v>
      </c>
      <c r="B5">
        <v>23</v>
      </c>
    </row>
    <row r="6" spans="1:2" x14ac:dyDescent="0.25">
      <c r="A6" s="3" t="s">
        <v>409</v>
      </c>
      <c r="B6">
        <v>12</v>
      </c>
    </row>
    <row r="7" spans="1:2" x14ac:dyDescent="0.25">
      <c r="A7" s="3" t="s">
        <v>388</v>
      </c>
      <c r="B7">
        <v>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63EC-FF0B-4EC4-80E2-AC13F79B1EBA}">
  <dimension ref="A3:B7"/>
  <sheetViews>
    <sheetView workbookViewId="0">
      <selection activeCell="H22" sqref="H22"/>
    </sheetView>
  </sheetViews>
  <sheetFormatPr defaultRowHeight="15" x14ac:dyDescent="0.25"/>
  <cols>
    <col min="1" max="1" width="16.5703125" bestFit="1" customWidth="1"/>
    <col min="2" max="2" width="16.42578125" bestFit="1" customWidth="1"/>
  </cols>
  <sheetData>
    <row r="3" spans="1:2" x14ac:dyDescent="0.25">
      <c r="A3" s="12" t="s">
        <v>397</v>
      </c>
      <c r="B3" t="s">
        <v>410</v>
      </c>
    </row>
    <row r="4" spans="1:2" x14ac:dyDescent="0.25">
      <c r="A4" s="3" t="s">
        <v>401</v>
      </c>
      <c r="B4">
        <v>25</v>
      </c>
    </row>
    <row r="5" spans="1:2" x14ac:dyDescent="0.25">
      <c r="A5" s="3" t="s">
        <v>402</v>
      </c>
      <c r="B5">
        <v>4</v>
      </c>
    </row>
    <row r="6" spans="1:2" x14ac:dyDescent="0.25">
      <c r="A6" s="3" t="s">
        <v>403</v>
      </c>
      <c r="B6">
        <v>19</v>
      </c>
    </row>
    <row r="7" spans="1:2" x14ac:dyDescent="0.25">
      <c r="A7" s="3" t="s">
        <v>388</v>
      </c>
      <c r="B7">
        <v>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DB7C-51DB-41E4-9B96-F8C71FB21434}">
  <dimension ref="A3:B7"/>
  <sheetViews>
    <sheetView workbookViewId="0">
      <selection activeCell="G23" sqref="G23"/>
    </sheetView>
  </sheetViews>
  <sheetFormatPr defaultRowHeight="15" x14ac:dyDescent="0.25"/>
  <cols>
    <col min="1" max="1" width="13.42578125" bestFit="1" customWidth="1"/>
    <col min="2" max="2" width="16.7109375" bestFit="1" customWidth="1"/>
  </cols>
  <sheetData>
    <row r="3" spans="1:2" x14ac:dyDescent="0.25">
      <c r="A3" s="12" t="s">
        <v>397</v>
      </c>
      <c r="B3" t="s">
        <v>414</v>
      </c>
    </row>
    <row r="4" spans="1:2" x14ac:dyDescent="0.25">
      <c r="A4" s="3" t="s">
        <v>411</v>
      </c>
      <c r="B4">
        <v>4.0466666666666669</v>
      </c>
    </row>
    <row r="5" spans="1:2" x14ac:dyDescent="0.25">
      <c r="A5" s="3" t="s">
        <v>412</v>
      </c>
      <c r="B5">
        <v>3.5249999999999999</v>
      </c>
    </row>
    <row r="6" spans="1:2" x14ac:dyDescent="0.25">
      <c r="A6" s="3" t="s">
        <v>413</v>
      </c>
      <c r="B6">
        <v>3.8380952380952387</v>
      </c>
    </row>
    <row r="7" spans="1:2" x14ac:dyDescent="0.25">
      <c r="A7" s="3" t="s">
        <v>388</v>
      </c>
      <c r="B7">
        <v>3.8249999999999993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36604-9927-486C-9586-D25B0DB35F90}">
  <dimension ref="A3:B7"/>
  <sheetViews>
    <sheetView workbookViewId="0">
      <selection activeCell="F24" sqref="F24"/>
    </sheetView>
  </sheetViews>
  <sheetFormatPr defaultRowHeight="15" x14ac:dyDescent="0.25"/>
  <cols>
    <col min="1" max="1" width="16.5703125" bestFit="1" customWidth="1"/>
    <col min="2" max="2" width="14.42578125" bestFit="1" customWidth="1"/>
  </cols>
  <sheetData>
    <row r="3" spans="1:2" x14ac:dyDescent="0.25">
      <c r="A3" s="12" t="s">
        <v>397</v>
      </c>
      <c r="B3" t="s">
        <v>415</v>
      </c>
    </row>
    <row r="4" spans="1:2" x14ac:dyDescent="0.25">
      <c r="A4" s="3" t="s">
        <v>401</v>
      </c>
      <c r="B4">
        <v>259</v>
      </c>
    </row>
    <row r="5" spans="1:2" x14ac:dyDescent="0.25">
      <c r="A5" s="3" t="s">
        <v>402</v>
      </c>
      <c r="B5">
        <v>38</v>
      </c>
    </row>
    <row r="6" spans="1:2" x14ac:dyDescent="0.25">
      <c r="A6" s="3" t="s">
        <v>403</v>
      </c>
      <c r="B6">
        <v>296</v>
      </c>
    </row>
    <row r="7" spans="1:2" x14ac:dyDescent="0.25">
      <c r="A7" s="3" t="s">
        <v>388</v>
      </c>
      <c r="B7">
        <v>593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38FF-45C0-472F-9FB9-CD30E3E5B6AE}">
  <dimension ref="A3:B52"/>
  <sheetViews>
    <sheetView workbookViewId="0">
      <selection activeCell="H25" sqref="H25"/>
    </sheetView>
  </sheetViews>
  <sheetFormatPr defaultRowHeight="15" x14ac:dyDescent="0.25"/>
  <cols>
    <col min="1" max="1" width="77" bestFit="1" customWidth="1"/>
    <col min="2" max="2" width="16.7109375" bestFit="1" customWidth="1"/>
  </cols>
  <sheetData>
    <row r="3" spans="1:2" x14ac:dyDescent="0.25">
      <c r="A3" s="12" t="s">
        <v>397</v>
      </c>
      <c r="B3" t="s">
        <v>414</v>
      </c>
    </row>
    <row r="4" spans="1:2" x14ac:dyDescent="0.25">
      <c r="A4" s="3" t="s">
        <v>126</v>
      </c>
      <c r="B4">
        <v>4.5</v>
      </c>
    </row>
    <row r="5" spans="1:2" x14ac:dyDescent="0.25">
      <c r="A5" s="3" t="s">
        <v>44</v>
      </c>
      <c r="B5">
        <v>4.7</v>
      </c>
    </row>
    <row r="6" spans="1:2" x14ac:dyDescent="0.25">
      <c r="A6" s="3" t="s">
        <v>6</v>
      </c>
      <c r="B6">
        <v>4.5</v>
      </c>
    </row>
    <row r="7" spans="1:2" x14ac:dyDescent="0.25">
      <c r="A7" s="3" t="s">
        <v>96</v>
      </c>
      <c r="B7">
        <v>3.8</v>
      </c>
    </row>
    <row r="8" spans="1:2" x14ac:dyDescent="0.25">
      <c r="A8" s="3" t="s">
        <v>106</v>
      </c>
      <c r="B8">
        <v>4.7</v>
      </c>
    </row>
    <row r="9" spans="1:2" x14ac:dyDescent="0.25">
      <c r="A9" s="3" t="s">
        <v>195</v>
      </c>
      <c r="B9">
        <v>2.8</v>
      </c>
    </row>
    <row r="10" spans="1:2" x14ac:dyDescent="0.25">
      <c r="A10" s="3" t="s">
        <v>38</v>
      </c>
      <c r="B10">
        <v>3.8</v>
      </c>
    </row>
    <row r="11" spans="1:2" x14ac:dyDescent="0.25">
      <c r="A11" s="3" t="s">
        <v>30</v>
      </c>
      <c r="B11">
        <v>4.5999999999999996</v>
      </c>
    </row>
    <row r="12" spans="1:2" x14ac:dyDescent="0.25">
      <c r="A12" s="3" t="s">
        <v>26</v>
      </c>
      <c r="B12">
        <v>4</v>
      </c>
    </row>
    <row r="13" spans="1:2" x14ac:dyDescent="0.25">
      <c r="A13" s="3" t="s">
        <v>213</v>
      </c>
      <c r="B13">
        <v>3</v>
      </c>
    </row>
    <row r="14" spans="1:2" x14ac:dyDescent="0.25">
      <c r="A14" s="3" t="s">
        <v>210</v>
      </c>
      <c r="B14">
        <v>2.2999999999999998</v>
      </c>
    </row>
    <row r="15" spans="1:2" x14ac:dyDescent="0.25">
      <c r="A15" s="3" t="s">
        <v>68</v>
      </c>
      <c r="B15">
        <v>4.5999999999999996</v>
      </c>
    </row>
    <row r="16" spans="1:2" x14ac:dyDescent="0.25">
      <c r="A16" s="3" t="s">
        <v>71</v>
      </c>
      <c r="B16">
        <v>3.3</v>
      </c>
    </row>
    <row r="17" spans="1:2" x14ac:dyDescent="0.25">
      <c r="A17" s="3" t="s">
        <v>47</v>
      </c>
      <c r="B17">
        <v>4.8</v>
      </c>
    </row>
    <row r="18" spans="1:2" x14ac:dyDescent="0.25">
      <c r="A18" s="3" t="s">
        <v>183</v>
      </c>
      <c r="B18">
        <v>2.5</v>
      </c>
    </row>
    <row r="19" spans="1:2" x14ac:dyDescent="0.25">
      <c r="A19" s="3" t="s">
        <v>115</v>
      </c>
      <c r="B19">
        <v>4.5</v>
      </c>
    </row>
    <row r="20" spans="1:2" x14ac:dyDescent="0.25">
      <c r="A20" s="3" t="s">
        <v>112</v>
      </c>
      <c r="B20">
        <v>4.7</v>
      </c>
    </row>
    <row r="21" spans="1:2" x14ac:dyDescent="0.25">
      <c r="A21" s="3" t="s">
        <v>191</v>
      </c>
      <c r="B21">
        <v>2.1</v>
      </c>
    </row>
    <row r="22" spans="1:2" x14ac:dyDescent="0.25">
      <c r="A22" s="3" t="s">
        <v>228</v>
      </c>
      <c r="B22">
        <v>2.2000000000000002</v>
      </c>
    </row>
    <row r="23" spans="1:2" x14ac:dyDescent="0.25">
      <c r="A23" s="3" t="s">
        <v>216</v>
      </c>
      <c r="B23">
        <v>2.6</v>
      </c>
    </row>
    <row r="24" spans="1:2" x14ac:dyDescent="0.25">
      <c r="A24" s="3" t="s">
        <v>56</v>
      </c>
      <c r="B24">
        <v>5</v>
      </c>
    </row>
    <row r="25" spans="1:2" x14ac:dyDescent="0.25">
      <c r="A25" s="3" t="s">
        <v>207</v>
      </c>
      <c r="B25">
        <v>2.2000000000000002</v>
      </c>
    </row>
    <row r="26" spans="1:2" x14ac:dyDescent="0.25">
      <c r="A26" s="3" t="s">
        <v>246</v>
      </c>
      <c r="B26">
        <v>5</v>
      </c>
    </row>
    <row r="27" spans="1:2" x14ac:dyDescent="0.25">
      <c r="A27" s="3" t="s">
        <v>121</v>
      </c>
      <c r="B27">
        <v>5</v>
      </c>
    </row>
    <row r="28" spans="1:2" x14ac:dyDescent="0.25">
      <c r="A28" s="3" t="s">
        <v>33</v>
      </c>
      <c r="B28">
        <v>4</v>
      </c>
    </row>
    <row r="29" spans="1:2" x14ac:dyDescent="0.25">
      <c r="A29" s="3" t="s">
        <v>118</v>
      </c>
      <c r="B29">
        <v>5</v>
      </c>
    </row>
    <row r="30" spans="1:2" x14ac:dyDescent="0.25">
      <c r="A30" s="3" t="s">
        <v>230</v>
      </c>
      <c r="B30">
        <v>2.1</v>
      </c>
    </row>
    <row r="31" spans="1:2" x14ac:dyDescent="0.25">
      <c r="A31" s="3" t="s">
        <v>90</v>
      </c>
      <c r="B31">
        <v>4.5999999999999996</v>
      </c>
    </row>
    <row r="32" spans="1:2" x14ac:dyDescent="0.25">
      <c r="A32" s="3" t="s">
        <v>254</v>
      </c>
      <c r="B32">
        <v>4</v>
      </c>
    </row>
    <row r="33" spans="1:2" x14ac:dyDescent="0.25">
      <c r="A33" s="3" t="s">
        <v>199</v>
      </c>
      <c r="B33">
        <v>2.7</v>
      </c>
    </row>
    <row r="34" spans="1:2" x14ac:dyDescent="0.25">
      <c r="A34" s="3" t="s">
        <v>296</v>
      </c>
      <c r="B34">
        <v>5</v>
      </c>
    </row>
    <row r="35" spans="1:2" x14ac:dyDescent="0.25">
      <c r="A35" s="3" t="s">
        <v>219</v>
      </c>
      <c r="B35">
        <v>3</v>
      </c>
    </row>
    <row r="36" spans="1:2" x14ac:dyDescent="0.25">
      <c r="A36" s="3" t="s">
        <v>63</v>
      </c>
      <c r="B36">
        <v>5</v>
      </c>
    </row>
    <row r="37" spans="1:2" x14ac:dyDescent="0.25">
      <c r="A37" s="3" t="s">
        <v>50</v>
      </c>
      <c r="B37">
        <v>4.5</v>
      </c>
    </row>
    <row r="38" spans="1:2" x14ac:dyDescent="0.25">
      <c r="A38" s="3" t="s">
        <v>35</v>
      </c>
      <c r="B38">
        <v>4.8</v>
      </c>
    </row>
    <row r="39" spans="1:2" x14ac:dyDescent="0.25">
      <c r="A39" s="3" t="s">
        <v>79</v>
      </c>
      <c r="B39">
        <v>4</v>
      </c>
    </row>
    <row r="40" spans="1:2" x14ac:dyDescent="0.25">
      <c r="A40" s="3" t="s">
        <v>66</v>
      </c>
      <c r="B40">
        <v>4.5999999999999996</v>
      </c>
    </row>
    <row r="41" spans="1:2" x14ac:dyDescent="0.25">
      <c r="A41" s="3" t="s">
        <v>244</v>
      </c>
      <c r="B41">
        <v>3</v>
      </c>
    </row>
    <row r="42" spans="1:2" x14ac:dyDescent="0.25">
      <c r="A42" s="3" t="s">
        <v>187</v>
      </c>
      <c r="B42">
        <v>3</v>
      </c>
    </row>
    <row r="43" spans="1:2" x14ac:dyDescent="0.25">
      <c r="A43" s="3" t="s">
        <v>60</v>
      </c>
      <c r="B43">
        <v>5</v>
      </c>
    </row>
    <row r="44" spans="1:2" x14ac:dyDescent="0.25">
      <c r="A44" s="3" t="s">
        <v>22</v>
      </c>
      <c r="B44">
        <v>4.8</v>
      </c>
    </row>
    <row r="45" spans="1:2" x14ac:dyDescent="0.25">
      <c r="A45" s="3" t="s">
        <v>14</v>
      </c>
      <c r="B45">
        <v>4.5999999999999996</v>
      </c>
    </row>
    <row r="46" spans="1:2" x14ac:dyDescent="0.25">
      <c r="A46" s="3" t="s">
        <v>93</v>
      </c>
      <c r="B46">
        <v>3.8</v>
      </c>
    </row>
    <row r="47" spans="1:2" x14ac:dyDescent="0.25">
      <c r="A47" s="3" t="s">
        <v>203</v>
      </c>
      <c r="B47">
        <v>2.9</v>
      </c>
    </row>
    <row r="48" spans="1:2" x14ac:dyDescent="0.25">
      <c r="A48" s="3" t="s">
        <v>319</v>
      </c>
      <c r="B48">
        <v>2</v>
      </c>
    </row>
    <row r="49" spans="1:2" x14ac:dyDescent="0.25">
      <c r="A49" s="3" t="s">
        <v>222</v>
      </c>
      <c r="B49">
        <v>2.2999999999999998</v>
      </c>
    </row>
    <row r="50" spans="1:2" x14ac:dyDescent="0.25">
      <c r="A50" s="3" t="s">
        <v>18</v>
      </c>
      <c r="B50">
        <v>4.7</v>
      </c>
    </row>
    <row r="51" spans="1:2" x14ac:dyDescent="0.25">
      <c r="A51" s="3" t="s">
        <v>225</v>
      </c>
      <c r="B51">
        <v>3</v>
      </c>
    </row>
    <row r="52" spans="1:2" x14ac:dyDescent="0.25">
      <c r="A52" s="3" t="s">
        <v>388</v>
      </c>
      <c r="B52">
        <v>3.8249999999999997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F1EC8-7433-440B-9169-21B4B347C0ED}">
  <dimension ref="A3:B52"/>
  <sheetViews>
    <sheetView workbookViewId="0">
      <selection activeCell="B8" sqref="B8"/>
    </sheetView>
  </sheetViews>
  <sheetFormatPr defaultRowHeight="15" x14ac:dyDescent="0.25"/>
  <cols>
    <col min="1" max="1" width="77" bestFit="1" customWidth="1"/>
    <col min="2" max="2" width="19.28515625" bestFit="1" customWidth="1"/>
  </cols>
  <sheetData>
    <row r="3" spans="1:2" x14ac:dyDescent="0.25">
      <c r="A3" s="12" t="s">
        <v>397</v>
      </c>
      <c r="B3" t="s">
        <v>416</v>
      </c>
    </row>
    <row r="4" spans="1:2" x14ac:dyDescent="0.25">
      <c r="A4" s="3" t="s">
        <v>126</v>
      </c>
      <c r="B4" s="16">
        <v>0.38</v>
      </c>
    </row>
    <row r="5" spans="1:2" x14ac:dyDescent="0.25">
      <c r="A5" s="3" t="s">
        <v>44</v>
      </c>
      <c r="B5" s="16">
        <v>0.34</v>
      </c>
    </row>
    <row r="6" spans="1:2" x14ac:dyDescent="0.25">
      <c r="A6" s="3" t="s">
        <v>6</v>
      </c>
      <c r="B6" s="16">
        <v>0.38</v>
      </c>
    </row>
    <row r="7" spans="1:2" x14ac:dyDescent="0.25">
      <c r="A7" s="3" t="s">
        <v>96</v>
      </c>
      <c r="B7" s="16">
        <v>0.32</v>
      </c>
    </row>
    <row r="8" spans="1:2" x14ac:dyDescent="0.25">
      <c r="A8" s="3" t="s">
        <v>106</v>
      </c>
      <c r="B8" s="16">
        <v>0.34</v>
      </c>
    </row>
    <row r="9" spans="1:2" x14ac:dyDescent="0.25">
      <c r="A9" s="3" t="s">
        <v>195</v>
      </c>
      <c r="B9" s="16">
        <v>0.49</v>
      </c>
    </row>
    <row r="10" spans="1:2" x14ac:dyDescent="0.25">
      <c r="A10" s="3" t="s">
        <v>38</v>
      </c>
      <c r="B10" s="16">
        <v>0.45</v>
      </c>
    </row>
    <row r="11" spans="1:2" x14ac:dyDescent="0.25">
      <c r="A11" s="3" t="s">
        <v>30</v>
      </c>
      <c r="B11" s="16">
        <v>0.24</v>
      </c>
    </row>
    <row r="12" spans="1:2" x14ac:dyDescent="0.25">
      <c r="A12" s="3" t="s">
        <v>26</v>
      </c>
      <c r="B12" s="16">
        <v>0.09</v>
      </c>
    </row>
    <row r="13" spans="1:2" x14ac:dyDescent="0.25">
      <c r="A13" s="3" t="s">
        <v>213</v>
      </c>
      <c r="B13" s="16">
        <v>0.39</v>
      </c>
    </row>
    <row r="14" spans="1:2" x14ac:dyDescent="0.25">
      <c r="A14" s="3" t="s">
        <v>210</v>
      </c>
      <c r="B14" s="16">
        <v>0.5</v>
      </c>
    </row>
    <row r="15" spans="1:2" x14ac:dyDescent="0.25">
      <c r="A15" s="3" t="s">
        <v>68</v>
      </c>
      <c r="B15" s="16">
        <v>0.49</v>
      </c>
    </row>
    <row r="16" spans="1:2" x14ac:dyDescent="0.25">
      <c r="A16" s="3" t="s">
        <v>71</v>
      </c>
      <c r="B16" s="16">
        <v>0.53</v>
      </c>
    </row>
    <row r="17" spans="1:2" x14ac:dyDescent="0.25">
      <c r="A17" s="3" t="s">
        <v>47</v>
      </c>
      <c r="B17" s="16">
        <v>0.47</v>
      </c>
    </row>
    <row r="18" spans="1:2" x14ac:dyDescent="0.25">
      <c r="A18" s="3" t="s">
        <v>183</v>
      </c>
      <c r="B18" s="16">
        <v>0.13</v>
      </c>
    </row>
    <row r="19" spans="1:2" x14ac:dyDescent="0.25">
      <c r="A19" s="3" t="s">
        <v>115</v>
      </c>
      <c r="B19" s="16">
        <v>0.27</v>
      </c>
    </row>
    <row r="20" spans="1:2" x14ac:dyDescent="0.25">
      <c r="A20" s="3" t="s">
        <v>112</v>
      </c>
      <c r="B20" s="16">
        <v>0.27</v>
      </c>
    </row>
    <row r="21" spans="1:2" x14ac:dyDescent="0.25">
      <c r="A21" s="3" t="s">
        <v>191</v>
      </c>
      <c r="B21" s="16">
        <v>0.55000000000000004</v>
      </c>
    </row>
    <row r="22" spans="1:2" x14ac:dyDescent="0.25">
      <c r="A22" s="3" t="s">
        <v>228</v>
      </c>
      <c r="B22" s="16">
        <v>0.47</v>
      </c>
    </row>
    <row r="23" spans="1:2" x14ac:dyDescent="0.25">
      <c r="A23" s="3" t="s">
        <v>216</v>
      </c>
      <c r="B23" s="16">
        <v>0.45</v>
      </c>
    </row>
    <row r="24" spans="1:2" x14ac:dyDescent="0.25">
      <c r="A24" s="3" t="s">
        <v>56</v>
      </c>
      <c r="B24" s="16">
        <v>0.51</v>
      </c>
    </row>
    <row r="25" spans="1:2" x14ac:dyDescent="0.25">
      <c r="A25" s="3" t="s">
        <v>207</v>
      </c>
      <c r="B25" s="16">
        <v>0.45</v>
      </c>
    </row>
    <row r="26" spans="1:2" x14ac:dyDescent="0.25">
      <c r="A26" s="3" t="s">
        <v>246</v>
      </c>
      <c r="B26" s="16">
        <v>0.49</v>
      </c>
    </row>
    <row r="27" spans="1:2" x14ac:dyDescent="0.25">
      <c r="A27" s="3" t="s">
        <v>121</v>
      </c>
      <c r="B27" s="16">
        <v>0.53</v>
      </c>
    </row>
    <row r="28" spans="1:2" x14ac:dyDescent="0.25">
      <c r="A28" s="3" t="s">
        <v>33</v>
      </c>
      <c r="B28" s="16">
        <v>0.37</v>
      </c>
    </row>
    <row r="29" spans="1:2" x14ac:dyDescent="0.25">
      <c r="A29" s="3" t="s">
        <v>118</v>
      </c>
      <c r="B29" s="16">
        <v>0.4</v>
      </c>
    </row>
    <row r="30" spans="1:2" x14ac:dyDescent="0.25">
      <c r="A30" s="3" t="s">
        <v>230</v>
      </c>
      <c r="B30" s="16">
        <v>0.47</v>
      </c>
    </row>
    <row r="31" spans="1:2" x14ac:dyDescent="0.25">
      <c r="A31" s="3" t="s">
        <v>90</v>
      </c>
      <c r="B31" s="16">
        <v>0.35</v>
      </c>
    </row>
    <row r="32" spans="1:2" x14ac:dyDescent="0.25">
      <c r="A32" s="3" t="s">
        <v>254</v>
      </c>
      <c r="B32" s="16">
        <v>0.49</v>
      </c>
    </row>
    <row r="33" spans="1:2" x14ac:dyDescent="0.25">
      <c r="A33" s="3" t="s">
        <v>199</v>
      </c>
      <c r="B33" s="16">
        <v>0.52</v>
      </c>
    </row>
    <row r="34" spans="1:2" x14ac:dyDescent="0.25">
      <c r="A34" s="3" t="s">
        <v>296</v>
      </c>
      <c r="B34" s="16">
        <v>0.21</v>
      </c>
    </row>
    <row r="35" spans="1:2" x14ac:dyDescent="0.25">
      <c r="A35" s="3" t="s">
        <v>219</v>
      </c>
      <c r="B35" s="16">
        <v>0.28999999999999998</v>
      </c>
    </row>
    <row r="36" spans="1:2" x14ac:dyDescent="0.25">
      <c r="A36" s="3" t="s">
        <v>63</v>
      </c>
      <c r="B36" s="16">
        <v>0.49</v>
      </c>
    </row>
    <row r="37" spans="1:2" x14ac:dyDescent="0.25">
      <c r="A37" s="3" t="s">
        <v>50</v>
      </c>
      <c r="B37" s="16">
        <v>0.42</v>
      </c>
    </row>
    <row r="38" spans="1:2" x14ac:dyDescent="0.25">
      <c r="A38" s="3" t="s">
        <v>35</v>
      </c>
      <c r="B38" s="16">
        <v>0.55000000000000004</v>
      </c>
    </row>
    <row r="39" spans="1:2" x14ac:dyDescent="0.25">
      <c r="A39" s="3" t="s">
        <v>79</v>
      </c>
      <c r="B39" s="16">
        <v>0.35</v>
      </c>
    </row>
    <row r="40" spans="1:2" x14ac:dyDescent="0.25">
      <c r="A40" s="3" t="s">
        <v>66</v>
      </c>
      <c r="B40" s="16">
        <v>0.19</v>
      </c>
    </row>
    <row r="41" spans="1:2" x14ac:dyDescent="0.25">
      <c r="A41" s="3" t="s">
        <v>244</v>
      </c>
      <c r="B41" s="16">
        <v>0.46</v>
      </c>
    </row>
    <row r="42" spans="1:2" x14ac:dyDescent="0.25">
      <c r="A42" s="3" t="s">
        <v>187</v>
      </c>
      <c r="B42" s="16">
        <v>0.54</v>
      </c>
    </row>
    <row r="43" spans="1:2" x14ac:dyDescent="0.25">
      <c r="A43" s="3" t="s">
        <v>60</v>
      </c>
      <c r="B43" s="16">
        <v>0.46</v>
      </c>
    </row>
    <row r="44" spans="1:2" x14ac:dyDescent="0.25">
      <c r="A44" s="3" t="s">
        <v>22</v>
      </c>
      <c r="B44" s="16">
        <v>0.26</v>
      </c>
    </row>
    <row r="45" spans="1:2" x14ac:dyDescent="0.25">
      <c r="A45" s="3" t="s">
        <v>14</v>
      </c>
      <c r="B45" s="16">
        <v>0.25</v>
      </c>
    </row>
    <row r="46" spans="1:2" x14ac:dyDescent="0.25">
      <c r="A46" s="3" t="s">
        <v>93</v>
      </c>
      <c r="B46" s="16">
        <v>0.18</v>
      </c>
    </row>
    <row r="47" spans="1:2" x14ac:dyDescent="0.25">
      <c r="A47" s="3" t="s">
        <v>203</v>
      </c>
      <c r="B47" s="16">
        <v>0.22</v>
      </c>
    </row>
    <row r="48" spans="1:2" x14ac:dyDescent="0.25">
      <c r="A48" s="3" t="s">
        <v>319</v>
      </c>
      <c r="B48" s="16">
        <v>0.5</v>
      </c>
    </row>
    <row r="49" spans="1:2" x14ac:dyDescent="0.25">
      <c r="A49" s="3" t="s">
        <v>222</v>
      </c>
      <c r="B49" s="16">
        <v>0.43</v>
      </c>
    </row>
    <row r="50" spans="1:2" x14ac:dyDescent="0.25">
      <c r="A50" s="3" t="s">
        <v>18</v>
      </c>
      <c r="B50" s="16">
        <v>0.37</v>
      </c>
    </row>
    <row r="51" spans="1:2" x14ac:dyDescent="0.25">
      <c r="A51" s="3" t="s">
        <v>225</v>
      </c>
      <c r="B51" s="16">
        <v>0.43</v>
      </c>
    </row>
    <row r="52" spans="1:2" x14ac:dyDescent="0.25">
      <c r="A52" s="3" t="s">
        <v>388</v>
      </c>
      <c r="B52" s="16">
        <v>0.39020833333333332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3EC70-900D-413A-A72A-FA9EB6D402BC}">
  <dimension ref="A3:B52"/>
  <sheetViews>
    <sheetView workbookViewId="0">
      <selection activeCell="E21" sqref="E21"/>
    </sheetView>
  </sheetViews>
  <sheetFormatPr defaultRowHeight="15" x14ac:dyDescent="0.25"/>
  <cols>
    <col min="1" max="1" width="77" bestFit="1" customWidth="1"/>
    <col min="2" max="2" width="14.42578125" bestFit="1" customWidth="1"/>
  </cols>
  <sheetData>
    <row r="3" spans="1:2" x14ac:dyDescent="0.25">
      <c r="A3" s="12" t="s">
        <v>397</v>
      </c>
      <c r="B3" t="s">
        <v>415</v>
      </c>
    </row>
    <row r="4" spans="1:2" x14ac:dyDescent="0.25">
      <c r="A4" s="3" t="s">
        <v>126</v>
      </c>
      <c r="B4">
        <v>2</v>
      </c>
    </row>
    <row r="5" spans="1:2" x14ac:dyDescent="0.25">
      <c r="A5" s="3" t="s">
        <v>44</v>
      </c>
      <c r="B5">
        <v>39</v>
      </c>
    </row>
    <row r="6" spans="1:2" x14ac:dyDescent="0.25">
      <c r="A6" s="3" t="s">
        <v>6</v>
      </c>
      <c r="B6">
        <v>2</v>
      </c>
    </row>
    <row r="7" spans="1:2" x14ac:dyDescent="0.25">
      <c r="A7" s="3" t="s">
        <v>96</v>
      </c>
      <c r="B7">
        <v>13</v>
      </c>
    </row>
    <row r="8" spans="1:2" x14ac:dyDescent="0.25">
      <c r="A8" s="3" t="s">
        <v>106</v>
      </c>
      <c r="B8">
        <v>12</v>
      </c>
    </row>
    <row r="9" spans="1:2" x14ac:dyDescent="0.25">
      <c r="A9" s="3" t="s">
        <v>195</v>
      </c>
      <c r="B9">
        <v>69</v>
      </c>
    </row>
    <row r="10" spans="1:2" x14ac:dyDescent="0.25">
      <c r="A10" s="3" t="s">
        <v>38</v>
      </c>
      <c r="B10">
        <v>5</v>
      </c>
    </row>
    <row r="11" spans="1:2" x14ac:dyDescent="0.25">
      <c r="A11" s="3" t="s">
        <v>30</v>
      </c>
      <c r="B11">
        <v>55</v>
      </c>
    </row>
    <row r="12" spans="1:2" x14ac:dyDescent="0.25">
      <c r="A12" s="3" t="s">
        <v>26</v>
      </c>
      <c r="B12">
        <v>15</v>
      </c>
    </row>
    <row r="13" spans="1:2" x14ac:dyDescent="0.25">
      <c r="A13" s="3" t="s">
        <v>213</v>
      </c>
      <c r="B13">
        <v>5</v>
      </c>
    </row>
    <row r="14" spans="1:2" x14ac:dyDescent="0.25">
      <c r="A14" s="3" t="s">
        <v>210</v>
      </c>
      <c r="B14">
        <v>7</v>
      </c>
    </row>
    <row r="15" spans="1:2" x14ac:dyDescent="0.25">
      <c r="A15" s="3" t="s">
        <v>68</v>
      </c>
      <c r="B15">
        <v>44</v>
      </c>
    </row>
    <row r="16" spans="1:2" x14ac:dyDescent="0.25">
      <c r="A16" s="3" t="s">
        <v>71</v>
      </c>
      <c r="B16">
        <v>13</v>
      </c>
    </row>
    <row r="17" spans="1:2" x14ac:dyDescent="0.25">
      <c r="A17" s="3" t="s">
        <v>47</v>
      </c>
      <c r="B17">
        <v>12</v>
      </c>
    </row>
    <row r="18" spans="1:2" x14ac:dyDescent="0.25">
      <c r="A18" s="3" t="s">
        <v>183</v>
      </c>
      <c r="B18">
        <v>6</v>
      </c>
    </row>
    <row r="19" spans="1:2" x14ac:dyDescent="0.25">
      <c r="A19" s="3" t="s">
        <v>115</v>
      </c>
      <c r="B19">
        <v>32</v>
      </c>
    </row>
    <row r="20" spans="1:2" x14ac:dyDescent="0.25">
      <c r="A20" s="3" t="s">
        <v>112</v>
      </c>
      <c r="B20">
        <v>20</v>
      </c>
    </row>
    <row r="21" spans="1:2" x14ac:dyDescent="0.25">
      <c r="A21" s="3" t="s">
        <v>191</v>
      </c>
      <c r="B21">
        <v>13</v>
      </c>
    </row>
    <row r="22" spans="1:2" x14ac:dyDescent="0.25">
      <c r="A22" s="3" t="s">
        <v>228</v>
      </c>
      <c r="B22">
        <v>6</v>
      </c>
    </row>
    <row r="23" spans="1:2" x14ac:dyDescent="0.25">
      <c r="A23" s="3" t="s">
        <v>216</v>
      </c>
      <c r="B23">
        <v>17</v>
      </c>
    </row>
    <row r="24" spans="1:2" x14ac:dyDescent="0.25">
      <c r="A24" s="3" t="s">
        <v>56</v>
      </c>
      <c r="B24">
        <v>2</v>
      </c>
    </row>
    <row r="25" spans="1:2" x14ac:dyDescent="0.25">
      <c r="A25" s="3" t="s">
        <v>207</v>
      </c>
      <c r="B25">
        <v>6</v>
      </c>
    </row>
    <row r="26" spans="1:2" x14ac:dyDescent="0.25">
      <c r="A26" s="3" t="s">
        <v>246</v>
      </c>
      <c r="B26">
        <v>1</v>
      </c>
    </row>
    <row r="27" spans="1:2" x14ac:dyDescent="0.25">
      <c r="A27" s="3" t="s">
        <v>121</v>
      </c>
      <c r="B27">
        <v>2</v>
      </c>
    </row>
    <row r="28" spans="1:2" x14ac:dyDescent="0.25">
      <c r="A28" s="3" t="s">
        <v>33</v>
      </c>
      <c r="B28">
        <v>2</v>
      </c>
    </row>
    <row r="29" spans="1:2" x14ac:dyDescent="0.25">
      <c r="A29" s="3" t="s">
        <v>118</v>
      </c>
      <c r="B29">
        <v>1</v>
      </c>
    </row>
    <row r="30" spans="1:2" x14ac:dyDescent="0.25">
      <c r="A30" s="3" t="s">
        <v>230</v>
      </c>
      <c r="B30">
        <v>7</v>
      </c>
    </row>
    <row r="31" spans="1:2" x14ac:dyDescent="0.25">
      <c r="A31" s="3" t="s">
        <v>90</v>
      </c>
      <c r="B31">
        <v>49</v>
      </c>
    </row>
    <row r="32" spans="1:2" x14ac:dyDescent="0.25">
      <c r="A32" s="3" t="s">
        <v>254</v>
      </c>
      <c r="B32">
        <v>1</v>
      </c>
    </row>
    <row r="33" spans="1:2" x14ac:dyDescent="0.25">
      <c r="A33" s="3" t="s">
        <v>199</v>
      </c>
      <c r="B33">
        <v>15</v>
      </c>
    </row>
    <row r="34" spans="1:2" x14ac:dyDescent="0.25">
      <c r="A34" s="3" t="s">
        <v>296</v>
      </c>
      <c r="B34">
        <v>1</v>
      </c>
    </row>
    <row r="35" spans="1:2" x14ac:dyDescent="0.25">
      <c r="A35" s="3" t="s">
        <v>219</v>
      </c>
      <c r="B35">
        <v>5</v>
      </c>
    </row>
    <row r="36" spans="1:2" x14ac:dyDescent="0.25">
      <c r="A36" s="3" t="s">
        <v>63</v>
      </c>
      <c r="B36">
        <v>3</v>
      </c>
    </row>
    <row r="37" spans="1:2" x14ac:dyDescent="0.25">
      <c r="A37" s="3" t="s">
        <v>50</v>
      </c>
      <c r="B37">
        <v>6</v>
      </c>
    </row>
    <row r="38" spans="1:2" x14ac:dyDescent="0.25">
      <c r="A38" s="3" t="s">
        <v>35</v>
      </c>
      <c r="B38">
        <v>5</v>
      </c>
    </row>
    <row r="39" spans="1:2" x14ac:dyDescent="0.25">
      <c r="A39" s="3" t="s">
        <v>79</v>
      </c>
      <c r="B39">
        <v>6</v>
      </c>
    </row>
    <row r="40" spans="1:2" x14ac:dyDescent="0.25">
      <c r="A40" s="3" t="s">
        <v>66</v>
      </c>
      <c r="B40">
        <v>5</v>
      </c>
    </row>
    <row r="41" spans="1:2" x14ac:dyDescent="0.25">
      <c r="A41" s="3" t="s">
        <v>244</v>
      </c>
      <c r="B41">
        <v>1</v>
      </c>
    </row>
    <row r="42" spans="1:2" x14ac:dyDescent="0.25">
      <c r="A42" s="3" t="s">
        <v>187</v>
      </c>
      <c r="B42">
        <v>10</v>
      </c>
    </row>
    <row r="43" spans="1:2" x14ac:dyDescent="0.25">
      <c r="A43" s="3" t="s">
        <v>60</v>
      </c>
      <c r="B43">
        <v>2</v>
      </c>
    </row>
    <row r="44" spans="1:2" x14ac:dyDescent="0.25">
      <c r="A44" s="3" t="s">
        <v>22</v>
      </c>
      <c r="B44">
        <v>5</v>
      </c>
    </row>
    <row r="45" spans="1:2" x14ac:dyDescent="0.25">
      <c r="A45" s="3" t="s">
        <v>14</v>
      </c>
      <c r="B45">
        <v>24</v>
      </c>
    </row>
    <row r="46" spans="1:2" x14ac:dyDescent="0.25">
      <c r="A46" s="3" t="s">
        <v>93</v>
      </c>
      <c r="B46">
        <v>12</v>
      </c>
    </row>
    <row r="47" spans="1:2" x14ac:dyDescent="0.25">
      <c r="A47" s="3" t="s">
        <v>203</v>
      </c>
      <c r="B47">
        <v>16</v>
      </c>
    </row>
    <row r="48" spans="1:2" x14ac:dyDescent="0.25">
      <c r="A48" s="3" t="s">
        <v>319</v>
      </c>
      <c r="B48">
        <v>1</v>
      </c>
    </row>
    <row r="49" spans="1:2" x14ac:dyDescent="0.25">
      <c r="A49" s="3" t="s">
        <v>222</v>
      </c>
      <c r="B49">
        <v>6</v>
      </c>
    </row>
    <row r="50" spans="1:2" x14ac:dyDescent="0.25">
      <c r="A50" s="3" t="s">
        <v>18</v>
      </c>
      <c r="B50">
        <v>7</v>
      </c>
    </row>
    <row r="51" spans="1:2" x14ac:dyDescent="0.25">
      <c r="A51" s="3" t="s">
        <v>225</v>
      </c>
      <c r="B51">
        <v>5</v>
      </c>
    </row>
    <row r="52" spans="1:2" x14ac:dyDescent="0.25">
      <c r="A52" s="3" t="s">
        <v>388</v>
      </c>
      <c r="B52">
        <v>593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FCAC-8B95-476B-BC94-B2ED4EF37F8B}">
  <dimension ref="A1:N113"/>
  <sheetViews>
    <sheetView zoomScaleNormal="100" workbookViewId="0">
      <selection activeCell="O28" sqref="O28"/>
    </sheetView>
  </sheetViews>
  <sheetFormatPr defaultRowHeight="15" x14ac:dyDescent="0.25"/>
  <cols>
    <col min="1" max="1" width="13.7109375" customWidth="1"/>
    <col min="2" max="2" width="16.140625" style="3" customWidth="1"/>
    <col min="3" max="3" width="21.42578125" style="8" bestFit="1" customWidth="1"/>
    <col min="4" max="4" width="11.42578125" style="6" bestFit="1" customWidth="1"/>
    <col min="5" max="5" width="9.85546875" style="14" bestFit="1" customWidth="1"/>
    <col min="6" max="6" width="7.7109375" style="17" customWidth="1"/>
    <col min="7" max="7" width="15.140625" style="3" bestFit="1" customWidth="1"/>
    <col min="8" max="8" width="19" bestFit="1" customWidth="1"/>
    <col min="9" max="9" width="17.5703125" style="3" customWidth="1"/>
    <col min="10" max="10" width="20.140625" style="3" customWidth="1"/>
    <col min="11" max="11" width="20.140625" customWidth="1"/>
    <col min="12" max="12" width="16.5703125" bestFit="1" customWidth="1"/>
    <col min="13" max="13" width="15.140625" customWidth="1"/>
    <col min="14" max="14" width="24.140625" customWidth="1"/>
  </cols>
  <sheetData>
    <row r="1" spans="1:14" x14ac:dyDescent="0.25">
      <c r="A1" t="s">
        <v>0</v>
      </c>
      <c r="B1" t="s">
        <v>376</v>
      </c>
      <c r="C1" s="8" t="s">
        <v>353</v>
      </c>
      <c r="D1" s="3" t="s">
        <v>3</v>
      </c>
      <c r="E1" s="3" t="s">
        <v>4</v>
      </c>
      <c r="F1" s="3" t="s">
        <v>348</v>
      </c>
      <c r="G1" s="3" t="s">
        <v>377</v>
      </c>
      <c r="H1" t="s">
        <v>372</v>
      </c>
      <c r="I1" s="3" t="s">
        <v>373</v>
      </c>
      <c r="J1" s="3" t="s">
        <v>378</v>
      </c>
      <c r="K1" t="s">
        <v>374</v>
      </c>
      <c r="L1" t="s">
        <v>375</v>
      </c>
      <c r="M1" t="s">
        <v>379</v>
      </c>
      <c r="N1" t="s">
        <v>399</v>
      </c>
    </row>
    <row r="2" spans="1:14" x14ac:dyDescent="0.25">
      <c r="A2" t="s">
        <v>6</v>
      </c>
      <c r="B2" s="8">
        <v>950</v>
      </c>
      <c r="C2" s="8">
        <v>1525</v>
      </c>
      <c r="D2" s="6">
        <v>0.38</v>
      </c>
      <c r="E2" s="14">
        <v>2</v>
      </c>
      <c r="F2" s="17">
        <v>4.5</v>
      </c>
      <c r="G2" s="3" t="str">
        <f>IF(OR(tblProducts[[#This Row],[Rating]]&lt;0,tblProducts[[#This Row],[Rating]]&gt;5),"Check rating","OK")</f>
        <v>OK</v>
      </c>
      <c r="H2" s="7">
        <f t="shared" ref="H2:H33" si="0">(C2-B2)</f>
        <v>575</v>
      </c>
      <c r="I2" s="3" t="str">
        <f t="shared" ref="I2:I33" si="1">IF(ISBLANK(F2), "Rating not provided", IF(F2&lt;3,"Poor", IF(AND(F2&gt;=3, F2 &lt;=4),"Average", IF(F2&gt;=4.5,"Excellent", "Unclassified"))))</f>
        <v>Excellent</v>
      </c>
      <c r="J2" s="3" t="str">
        <f>IF(OR(tblProducts[[#This Row],[Discount]]&lt;0,tblProducts[[#This Row],[Discount]]&gt;1),"Check discount","OK")</f>
        <v>OK</v>
      </c>
      <c r="K2" t="str">
        <f t="shared" ref="K2:K33" si="2">IF(ISBLANK(D2), "Missing", IF(D2&lt;20%, "Low Discount", IF(D2&lt;=40%, "Medium Discount", "High Discount")))</f>
        <v>Medium Discount</v>
      </c>
      <c r="L2" t="str">
        <f>IF(tblProducts[[#This Row],[Current Price]]="","Missing",IF(tblProducts[[#This Row],[Current Price]]&lt;=Price_Q1,"Low Price",IF(tblProducts[[#This Row],[Current Price]]&lt;=Price_Q3,"Medium Price","High Price")))</f>
        <v>Medium Price</v>
      </c>
      <c r="M2" t="str">
        <f>IF(tblProducts[[#This Row],[Current Price]]&gt;tblProducts[[#This Row],[Old Price]],"Check prices","OK")</f>
        <v>OK</v>
      </c>
      <c r="N2" t="str">
        <f>IF(tblProducts[[#This Row],[Review]]="","Missing",IF(tblProducts[[#This Row],[Review]]&gt;=Review_P75,"Strong Engagement","Normal"))</f>
        <v>Normal</v>
      </c>
    </row>
    <row r="3" spans="1:14" x14ac:dyDescent="0.25">
      <c r="A3" t="s">
        <v>10</v>
      </c>
      <c r="B3" s="8">
        <v>527</v>
      </c>
      <c r="C3" s="8">
        <v>999</v>
      </c>
      <c r="D3" s="6">
        <v>0.47</v>
      </c>
      <c r="E3" s="14">
        <v>14</v>
      </c>
      <c r="F3" s="17">
        <v>4.0999999999999996</v>
      </c>
      <c r="G3" s="3" t="str">
        <f>IF(OR(tblProducts[[#This Row],[Rating]]&lt;0,tblProducts[[#This Row],[Rating]]&gt;5),"Check rating","OK")</f>
        <v>OK</v>
      </c>
      <c r="H3" s="7">
        <f t="shared" si="0"/>
        <v>472</v>
      </c>
      <c r="I3" s="3" t="str">
        <f t="shared" si="1"/>
        <v>Unclassified</v>
      </c>
      <c r="J3" s="3" t="str">
        <f>IF(OR(tblProducts[[#This Row],[Discount]]&lt;0,tblProducts[[#This Row],[Discount]]&gt;1),"Check discount","OK")</f>
        <v>OK</v>
      </c>
      <c r="K3" t="str">
        <f t="shared" si="2"/>
        <v>High Discount</v>
      </c>
      <c r="L3" t="str">
        <f>IF(tblProducts[[#This Row],[Current Price]]="","Missing",IF(tblProducts[[#This Row],[Current Price]]&lt;=Price_Q1,"Low Price",IF(tblProducts[[#This Row],[Current Price]]&lt;=Price_Q3,"Medium Price","High Price")))</f>
        <v>Medium Price</v>
      </c>
      <c r="M3" t="str">
        <f>IF(tblProducts[[#This Row],[Current Price]]&gt;tblProducts[[#This Row],[Old Price]],"Check prices","OK")</f>
        <v>OK</v>
      </c>
      <c r="N3" t="str">
        <f>IF(tblProducts[[#This Row],[Review]]="","Missing",IF(tblProducts[[#This Row],[Review]]&gt;=Review_P75,"Strong Engagement","Normal"))</f>
        <v>Strong Engagement</v>
      </c>
    </row>
    <row r="4" spans="1:14" x14ac:dyDescent="0.25">
      <c r="A4" t="s">
        <v>14</v>
      </c>
      <c r="B4" s="8">
        <v>2199</v>
      </c>
      <c r="C4" s="8">
        <v>2923</v>
      </c>
      <c r="D4" s="6">
        <v>0.25</v>
      </c>
      <c r="E4" s="14">
        <v>24</v>
      </c>
      <c r="F4" s="17">
        <v>4.5999999999999996</v>
      </c>
      <c r="G4" s="3" t="str">
        <f>IF(OR(tblProducts[[#This Row],[Rating]]&lt;0,tblProducts[[#This Row],[Rating]]&gt;5),"Check rating","OK")</f>
        <v>OK</v>
      </c>
      <c r="H4" s="7">
        <f t="shared" si="0"/>
        <v>724</v>
      </c>
      <c r="I4" s="3" t="str">
        <f t="shared" si="1"/>
        <v>Excellent</v>
      </c>
      <c r="J4" s="3" t="str">
        <f>IF(OR(tblProducts[[#This Row],[Discount]]&lt;0,tblProducts[[#This Row],[Discount]]&gt;1),"Check discount","OK")</f>
        <v>OK</v>
      </c>
      <c r="K4" t="str">
        <f t="shared" si="2"/>
        <v>Medium Discount</v>
      </c>
      <c r="L4" t="str">
        <f>IF(tblProducts[[#This Row],[Current Price]]="","Missing",IF(tblProducts[[#This Row],[Current Price]]&lt;=Price_Q1,"Low Price",IF(tblProducts[[#This Row],[Current Price]]&lt;=Price_Q3,"Medium Price","High Price")))</f>
        <v>High Price</v>
      </c>
      <c r="M4" t="str">
        <f>IF(tblProducts[[#This Row],[Current Price]]&gt;tblProducts[[#This Row],[Old Price]],"Check prices","OK")</f>
        <v>OK</v>
      </c>
      <c r="N4" t="str">
        <f>IF(tblProducts[[#This Row],[Review]]="","Missing",IF(tblProducts[[#This Row],[Review]]&gt;=Review_P75,"Strong Engagement","Normal"))</f>
        <v>Strong Engagement</v>
      </c>
    </row>
    <row r="5" spans="1:14" x14ac:dyDescent="0.25">
      <c r="A5" t="s">
        <v>18</v>
      </c>
      <c r="B5" s="8">
        <v>1580</v>
      </c>
      <c r="C5" s="8">
        <v>2499</v>
      </c>
      <c r="D5" s="6">
        <v>0.37</v>
      </c>
      <c r="E5" s="14">
        <v>7</v>
      </c>
      <c r="F5" s="17">
        <v>4.7</v>
      </c>
      <c r="G5" s="3" t="str">
        <f>IF(OR(tblProducts[[#This Row],[Rating]]&lt;0,tblProducts[[#This Row],[Rating]]&gt;5),"Check rating","OK")</f>
        <v>OK</v>
      </c>
      <c r="H5" s="7">
        <f t="shared" si="0"/>
        <v>919</v>
      </c>
      <c r="I5" s="3" t="str">
        <f t="shared" si="1"/>
        <v>Excellent</v>
      </c>
      <c r="J5" s="3" t="str">
        <f>IF(OR(tblProducts[[#This Row],[Discount]]&lt;0,tblProducts[[#This Row],[Discount]]&gt;1),"Check discount","OK")</f>
        <v>OK</v>
      </c>
      <c r="K5" t="str">
        <f t="shared" si="2"/>
        <v>Medium Discount</v>
      </c>
      <c r="L5" t="str">
        <f>IF(tblProducts[[#This Row],[Current Price]]="","Missing",IF(tblProducts[[#This Row],[Current Price]]&lt;=Price_Q1,"Low Price",IF(tblProducts[[#This Row],[Current Price]]&lt;=Price_Q3,"Medium Price","High Price")))</f>
        <v>Medium Price</v>
      </c>
      <c r="M5" t="str">
        <f>IF(tblProducts[[#This Row],[Current Price]]&gt;tblProducts[[#This Row],[Old Price]],"Check prices","OK")</f>
        <v>OK</v>
      </c>
      <c r="N5" t="str">
        <f>IF(tblProducts[[#This Row],[Review]]="","Missing",IF(tblProducts[[#This Row],[Review]]&gt;=Review_P75,"Strong Engagement","Normal"))</f>
        <v>Normal</v>
      </c>
    </row>
    <row r="6" spans="1:14" x14ac:dyDescent="0.25">
      <c r="A6" t="s">
        <v>22</v>
      </c>
      <c r="B6" s="8">
        <v>1740</v>
      </c>
      <c r="C6" s="8">
        <v>2356</v>
      </c>
      <c r="D6" s="6">
        <v>0.26</v>
      </c>
      <c r="E6" s="14">
        <v>5</v>
      </c>
      <c r="F6" s="17">
        <v>4.8</v>
      </c>
      <c r="G6" s="3" t="str">
        <f>IF(OR(tblProducts[[#This Row],[Rating]]&lt;0,tblProducts[[#This Row],[Rating]]&gt;5),"Check rating","OK")</f>
        <v>OK</v>
      </c>
      <c r="H6" s="7">
        <f t="shared" si="0"/>
        <v>616</v>
      </c>
      <c r="I6" s="3" t="str">
        <f t="shared" si="1"/>
        <v>Excellent</v>
      </c>
      <c r="J6" s="3" t="str">
        <f>IF(OR(tblProducts[[#This Row],[Discount]]&lt;0,tblProducts[[#This Row],[Discount]]&gt;1),"Check discount","OK")</f>
        <v>OK</v>
      </c>
      <c r="K6" t="str">
        <f t="shared" si="2"/>
        <v>Medium Discount</v>
      </c>
      <c r="L6" t="str">
        <f>IF(tblProducts[[#This Row],[Current Price]]="","Missing",IF(tblProducts[[#This Row],[Current Price]]&lt;=Price_Q1,"Low Price",IF(tblProducts[[#This Row],[Current Price]]&lt;=Price_Q3,"Medium Price","High Price")))</f>
        <v>High Price</v>
      </c>
      <c r="M6" t="str">
        <f>IF(tblProducts[[#This Row],[Current Price]]&gt;tblProducts[[#This Row],[Old Price]],"Check prices","OK")</f>
        <v>OK</v>
      </c>
      <c r="N6" t="str">
        <f>IF(tblProducts[[#This Row],[Review]]="","Missing",IF(tblProducts[[#This Row],[Review]]&gt;=Review_P75,"Strong Engagement","Normal"))</f>
        <v>Normal</v>
      </c>
    </row>
    <row r="7" spans="1:14" x14ac:dyDescent="0.25">
      <c r="A7" t="s">
        <v>26</v>
      </c>
      <c r="B7" s="8">
        <v>2999</v>
      </c>
      <c r="C7" s="8">
        <v>3290</v>
      </c>
      <c r="D7" s="6">
        <v>0.09</v>
      </c>
      <c r="E7" s="14">
        <v>15</v>
      </c>
      <c r="F7" s="17">
        <v>4</v>
      </c>
      <c r="G7" s="3" t="str">
        <f>IF(OR(tblProducts[[#This Row],[Rating]]&lt;0,tblProducts[[#This Row],[Rating]]&gt;5),"Check rating","OK")</f>
        <v>OK</v>
      </c>
      <c r="H7" s="7">
        <f t="shared" si="0"/>
        <v>291</v>
      </c>
      <c r="I7" s="3" t="str">
        <f t="shared" si="1"/>
        <v>Average</v>
      </c>
      <c r="J7" s="3" t="str">
        <f>IF(OR(tblProducts[[#This Row],[Discount]]&lt;0,tblProducts[[#This Row],[Discount]]&gt;1),"Check discount","OK")</f>
        <v>OK</v>
      </c>
      <c r="K7" t="str">
        <f t="shared" si="2"/>
        <v>Low Discount</v>
      </c>
      <c r="L7" t="str">
        <f>IF(tblProducts[[#This Row],[Current Price]]="","Missing",IF(tblProducts[[#This Row],[Current Price]]&lt;=Price_Q1,"Low Price",IF(tblProducts[[#This Row],[Current Price]]&lt;=Price_Q3,"Medium Price","High Price")))</f>
        <v>High Price</v>
      </c>
      <c r="M7" t="str">
        <f>IF(tblProducts[[#This Row],[Current Price]]&gt;tblProducts[[#This Row],[Old Price]],"Check prices","OK")</f>
        <v>OK</v>
      </c>
      <c r="N7" t="str">
        <f>IF(tblProducts[[#This Row],[Review]]="","Missing",IF(tblProducts[[#This Row],[Review]]&gt;=Review_P75,"Strong Engagement","Normal"))</f>
        <v>Strong Engagement</v>
      </c>
    </row>
    <row r="8" spans="1:14" x14ac:dyDescent="0.25">
      <c r="A8" t="s">
        <v>30</v>
      </c>
      <c r="B8" s="8">
        <v>2319</v>
      </c>
      <c r="C8" s="8">
        <v>3032</v>
      </c>
      <c r="D8" s="6">
        <v>0.24</v>
      </c>
      <c r="E8" s="14">
        <v>55</v>
      </c>
      <c r="F8" s="17">
        <v>4.5999999999999996</v>
      </c>
      <c r="G8" s="3" t="str">
        <f>IF(OR(tblProducts[[#This Row],[Rating]]&lt;0,tblProducts[[#This Row],[Rating]]&gt;5),"Check rating","OK")</f>
        <v>OK</v>
      </c>
      <c r="H8" s="7">
        <f t="shared" si="0"/>
        <v>713</v>
      </c>
      <c r="I8" s="3" t="str">
        <f t="shared" si="1"/>
        <v>Excellent</v>
      </c>
      <c r="J8" s="3" t="str">
        <f>IF(OR(tblProducts[[#This Row],[Discount]]&lt;0,tblProducts[[#This Row],[Discount]]&gt;1),"Check discount","OK")</f>
        <v>OK</v>
      </c>
      <c r="K8" t="str">
        <f t="shared" si="2"/>
        <v>Medium Discount</v>
      </c>
      <c r="L8" t="str">
        <f>IF(tblProducts[[#This Row],[Current Price]]="","Missing",IF(tblProducts[[#This Row],[Current Price]]&lt;=Price_Q1,"Low Price",IF(tblProducts[[#This Row],[Current Price]]&lt;=Price_Q3,"Medium Price","High Price")))</f>
        <v>High Price</v>
      </c>
      <c r="M8" t="str">
        <f>IF(tblProducts[[#This Row],[Current Price]]&gt;tblProducts[[#This Row],[Old Price]],"Check prices","OK")</f>
        <v>OK</v>
      </c>
      <c r="N8" t="str">
        <f>IF(tblProducts[[#This Row],[Review]]="","Missing",IF(tblProducts[[#This Row],[Review]]&gt;=Review_P75,"Strong Engagement","Normal"))</f>
        <v>Strong Engagement</v>
      </c>
    </row>
    <row r="9" spans="1:14" x14ac:dyDescent="0.25">
      <c r="A9" t="s">
        <v>33</v>
      </c>
      <c r="B9" s="8">
        <v>988</v>
      </c>
      <c r="C9" s="8">
        <v>1580</v>
      </c>
      <c r="D9" s="6">
        <v>0.37</v>
      </c>
      <c r="E9" s="14">
        <v>2</v>
      </c>
      <c r="F9" s="17">
        <v>4</v>
      </c>
      <c r="G9" s="3" t="str">
        <f>IF(OR(tblProducts[[#This Row],[Rating]]&lt;0,tblProducts[[#This Row],[Rating]]&gt;5),"Check rating","OK")</f>
        <v>OK</v>
      </c>
      <c r="H9" s="7">
        <f t="shared" si="0"/>
        <v>592</v>
      </c>
      <c r="I9" s="3" t="str">
        <f t="shared" si="1"/>
        <v>Average</v>
      </c>
      <c r="J9" s="3" t="str">
        <f>IF(OR(tblProducts[[#This Row],[Discount]]&lt;0,tblProducts[[#This Row],[Discount]]&gt;1),"Check discount","OK")</f>
        <v>OK</v>
      </c>
      <c r="K9" t="str">
        <f t="shared" si="2"/>
        <v>Medium Discount</v>
      </c>
      <c r="L9" t="str">
        <f>IF(tblProducts[[#This Row],[Current Price]]="","Missing",IF(tblProducts[[#This Row],[Current Price]]&lt;=Price_Q1,"Low Price",IF(tblProducts[[#This Row],[Current Price]]&lt;=Price_Q3,"Medium Price","High Price")))</f>
        <v>Medium Price</v>
      </c>
      <c r="M9" t="str">
        <f>IF(tblProducts[[#This Row],[Current Price]]&gt;tblProducts[[#This Row],[Old Price]],"Check prices","OK")</f>
        <v>OK</v>
      </c>
      <c r="N9" t="str">
        <f>IF(tblProducts[[#This Row],[Review]]="","Missing",IF(tblProducts[[#This Row],[Review]]&gt;=Review_P75,"Strong Engagement","Normal"))</f>
        <v>Normal</v>
      </c>
    </row>
    <row r="10" spans="1:14" x14ac:dyDescent="0.25">
      <c r="A10" t="s">
        <v>35</v>
      </c>
      <c r="B10" s="8">
        <v>1274</v>
      </c>
      <c r="C10" s="8">
        <v>2800</v>
      </c>
      <c r="D10" s="6">
        <v>0.55000000000000004</v>
      </c>
      <c r="E10" s="14">
        <v>5</v>
      </c>
      <c r="F10" s="17">
        <v>4.8</v>
      </c>
      <c r="G10" s="3" t="str">
        <f>IF(OR(tblProducts[[#This Row],[Rating]]&lt;0,tblProducts[[#This Row],[Rating]]&gt;5),"Check rating","OK")</f>
        <v>OK</v>
      </c>
      <c r="H10" s="7">
        <f t="shared" si="0"/>
        <v>1526</v>
      </c>
      <c r="I10" s="3" t="str">
        <f t="shared" si="1"/>
        <v>Excellent</v>
      </c>
      <c r="J10" s="3" t="str">
        <f>IF(OR(tblProducts[[#This Row],[Discount]]&lt;0,tblProducts[[#This Row],[Discount]]&gt;1),"Check discount","OK")</f>
        <v>OK</v>
      </c>
      <c r="K10" t="str">
        <f t="shared" si="2"/>
        <v>High Discount</v>
      </c>
      <c r="L10" t="str">
        <f>IF(tblProducts[[#This Row],[Current Price]]="","Missing",IF(tblProducts[[#This Row],[Current Price]]&lt;=Price_Q1,"Low Price",IF(tblProducts[[#This Row],[Current Price]]&lt;=Price_Q3,"Medium Price","High Price")))</f>
        <v>Medium Price</v>
      </c>
      <c r="M10" t="str">
        <f>IF(tblProducts[[#This Row],[Current Price]]&gt;tblProducts[[#This Row],[Old Price]],"Check prices","OK")</f>
        <v>OK</v>
      </c>
      <c r="N10" t="str">
        <f>IF(tblProducts[[#This Row],[Review]]="","Missing",IF(tblProducts[[#This Row],[Review]]&gt;=Review_P75,"Strong Engagement","Normal"))</f>
        <v>Normal</v>
      </c>
    </row>
    <row r="11" spans="1:14" x14ac:dyDescent="0.25">
      <c r="A11" t="s">
        <v>38</v>
      </c>
      <c r="B11" s="8">
        <v>1600</v>
      </c>
      <c r="C11" s="8">
        <v>2929</v>
      </c>
      <c r="D11" s="6">
        <v>0.45</v>
      </c>
      <c r="E11" s="14">
        <v>5</v>
      </c>
      <c r="F11" s="17">
        <v>3.8</v>
      </c>
      <c r="G11" s="3" t="str">
        <f>IF(OR(tblProducts[[#This Row],[Rating]]&lt;0,tblProducts[[#This Row],[Rating]]&gt;5),"Check rating","OK")</f>
        <v>OK</v>
      </c>
      <c r="H11" s="7">
        <f t="shared" si="0"/>
        <v>1329</v>
      </c>
      <c r="I11" s="3" t="str">
        <f t="shared" si="1"/>
        <v>Average</v>
      </c>
      <c r="J11" s="3" t="str">
        <f>IF(OR(tblProducts[[#This Row],[Discount]]&lt;0,tblProducts[[#This Row],[Discount]]&gt;1),"Check discount","OK")</f>
        <v>OK</v>
      </c>
      <c r="K11" t="str">
        <f t="shared" si="2"/>
        <v>High Discount</v>
      </c>
      <c r="L11" t="str">
        <f>IF(tblProducts[[#This Row],[Current Price]]="","Missing",IF(tblProducts[[#This Row],[Current Price]]&lt;=Price_Q1,"Low Price",IF(tblProducts[[#This Row],[Current Price]]&lt;=Price_Q3,"Medium Price","High Price")))</f>
        <v>Medium Price</v>
      </c>
      <c r="M11" t="str">
        <f>IF(tblProducts[[#This Row],[Current Price]]&gt;tblProducts[[#This Row],[Old Price]],"Check prices","OK")</f>
        <v>OK</v>
      </c>
      <c r="N11" t="str">
        <f>IF(tblProducts[[#This Row],[Review]]="","Missing",IF(tblProducts[[#This Row],[Review]]&gt;=Review_P75,"Strong Engagement","Normal"))</f>
        <v>Normal</v>
      </c>
    </row>
    <row r="12" spans="1:14" x14ac:dyDescent="0.25">
      <c r="A12" t="s">
        <v>42</v>
      </c>
      <c r="B12" s="8">
        <v>799</v>
      </c>
      <c r="C12" s="8">
        <v>999</v>
      </c>
      <c r="D12" s="6">
        <v>0.2</v>
      </c>
      <c r="E12" s="14">
        <v>12</v>
      </c>
      <c r="F12" s="17">
        <v>4.0999999999999996</v>
      </c>
      <c r="G12" s="3" t="str">
        <f>IF(OR(tblProducts[[#This Row],[Rating]]&lt;0,tblProducts[[#This Row],[Rating]]&gt;5),"Check rating","OK")</f>
        <v>OK</v>
      </c>
      <c r="H12" s="7">
        <f t="shared" si="0"/>
        <v>200</v>
      </c>
      <c r="I12" s="3" t="str">
        <f t="shared" si="1"/>
        <v>Unclassified</v>
      </c>
      <c r="J12" s="3" t="str">
        <f>IF(OR(tblProducts[[#This Row],[Discount]]&lt;0,tblProducts[[#This Row],[Discount]]&gt;1),"Check discount","OK")</f>
        <v>OK</v>
      </c>
      <c r="K12" t="str">
        <f t="shared" si="2"/>
        <v>Medium Discount</v>
      </c>
      <c r="L12" t="str">
        <f>IF(tblProducts[[#This Row],[Current Price]]="","Missing",IF(tblProducts[[#This Row],[Current Price]]&lt;=Price_Q1,"Low Price",IF(tblProducts[[#This Row],[Current Price]]&lt;=Price_Q3,"Medium Price","High Price")))</f>
        <v>Medium Price</v>
      </c>
      <c r="M12" t="str">
        <f>IF(tblProducts[[#This Row],[Current Price]]&gt;tblProducts[[#This Row],[Old Price]],"Check prices","OK")</f>
        <v>OK</v>
      </c>
      <c r="N12" t="str">
        <f>IF(tblProducts[[#This Row],[Review]]="","Missing",IF(tblProducts[[#This Row],[Review]]&gt;=Review_P75,"Strong Engagement","Normal"))</f>
        <v>Normal</v>
      </c>
    </row>
    <row r="13" spans="1:14" x14ac:dyDescent="0.25">
      <c r="A13" t="s">
        <v>44</v>
      </c>
      <c r="B13" s="8">
        <v>990</v>
      </c>
      <c r="C13" s="8">
        <v>1500</v>
      </c>
      <c r="D13" s="6">
        <v>0.34</v>
      </c>
      <c r="E13" s="14">
        <v>39</v>
      </c>
      <c r="F13" s="17">
        <v>4.7</v>
      </c>
      <c r="G13" s="3" t="str">
        <f>IF(OR(tblProducts[[#This Row],[Rating]]&lt;0,tblProducts[[#This Row],[Rating]]&gt;5),"Check rating","OK")</f>
        <v>OK</v>
      </c>
      <c r="H13" s="7">
        <f t="shared" si="0"/>
        <v>510</v>
      </c>
      <c r="I13" s="3" t="str">
        <f t="shared" si="1"/>
        <v>Excellent</v>
      </c>
      <c r="J13" s="3" t="str">
        <f>IF(OR(tblProducts[[#This Row],[Discount]]&lt;0,tblProducts[[#This Row],[Discount]]&gt;1),"Check discount","OK")</f>
        <v>OK</v>
      </c>
      <c r="K13" t="str">
        <f t="shared" si="2"/>
        <v>Medium Discount</v>
      </c>
      <c r="L13" t="str">
        <f>IF(tblProducts[[#This Row],[Current Price]]="","Missing",IF(tblProducts[[#This Row],[Current Price]]&lt;=Price_Q1,"Low Price",IF(tblProducts[[#This Row],[Current Price]]&lt;=Price_Q3,"Medium Price","High Price")))</f>
        <v>Medium Price</v>
      </c>
      <c r="M13" t="str">
        <f>IF(tblProducts[[#This Row],[Current Price]]&gt;tblProducts[[#This Row],[Old Price]],"Check prices","OK")</f>
        <v>OK</v>
      </c>
      <c r="N13" t="str">
        <f>IF(tblProducts[[#This Row],[Review]]="","Missing",IF(tblProducts[[#This Row],[Review]]&gt;=Review_P75,"Strong Engagement","Normal"))</f>
        <v>Strong Engagement</v>
      </c>
    </row>
    <row r="14" spans="1:14" x14ac:dyDescent="0.25">
      <c r="A14" t="s">
        <v>47</v>
      </c>
      <c r="B14" s="8">
        <v>552</v>
      </c>
      <c r="C14" s="8">
        <v>1035</v>
      </c>
      <c r="D14" s="6">
        <v>0.47</v>
      </c>
      <c r="E14" s="14">
        <v>12</v>
      </c>
      <c r="F14" s="17">
        <v>4.8</v>
      </c>
      <c r="G14" s="3" t="str">
        <f>IF(OR(tblProducts[[#This Row],[Rating]]&lt;0,tblProducts[[#This Row],[Rating]]&gt;5),"Check rating","OK")</f>
        <v>OK</v>
      </c>
      <c r="H14" s="7">
        <f t="shared" si="0"/>
        <v>483</v>
      </c>
      <c r="I14" s="3" t="str">
        <f t="shared" si="1"/>
        <v>Excellent</v>
      </c>
      <c r="J14" s="3" t="str">
        <f>IF(OR(tblProducts[[#This Row],[Discount]]&lt;0,tblProducts[[#This Row],[Discount]]&gt;1),"Check discount","OK")</f>
        <v>OK</v>
      </c>
      <c r="K14" t="str">
        <f t="shared" si="2"/>
        <v>High Discount</v>
      </c>
      <c r="L14" t="str">
        <f>IF(tblProducts[[#This Row],[Current Price]]="","Missing",IF(tblProducts[[#This Row],[Current Price]]&lt;=Price_Q1,"Low Price",IF(tblProducts[[#This Row],[Current Price]]&lt;=Price_Q3,"Medium Price","High Price")))</f>
        <v>Medium Price</v>
      </c>
      <c r="M14" t="str">
        <f>IF(tblProducts[[#This Row],[Current Price]]&gt;tblProducts[[#This Row],[Old Price]],"Check prices","OK")</f>
        <v>OK</v>
      </c>
      <c r="N14" t="str">
        <f>IF(tblProducts[[#This Row],[Review]]="","Missing",IF(tblProducts[[#This Row],[Review]]&gt;=Review_P75,"Strong Engagement","Normal"))</f>
        <v>Normal</v>
      </c>
    </row>
    <row r="15" spans="1:14" x14ac:dyDescent="0.25">
      <c r="A15" t="s">
        <v>50</v>
      </c>
      <c r="B15" s="8">
        <v>501</v>
      </c>
      <c r="C15" s="8">
        <v>860</v>
      </c>
      <c r="D15" s="6">
        <v>0.42</v>
      </c>
      <c r="E15" s="14">
        <v>6</v>
      </c>
      <c r="F15" s="17">
        <v>4.5</v>
      </c>
      <c r="G15" s="3" t="str">
        <f>IF(OR(tblProducts[[#This Row],[Rating]]&lt;0,tblProducts[[#This Row],[Rating]]&gt;5),"Check rating","OK")</f>
        <v>OK</v>
      </c>
      <c r="H15" s="7">
        <f t="shared" si="0"/>
        <v>359</v>
      </c>
      <c r="I15" s="3" t="str">
        <f t="shared" si="1"/>
        <v>Excellent</v>
      </c>
      <c r="J15" s="3" t="str">
        <f>IF(OR(tblProducts[[#This Row],[Discount]]&lt;0,tblProducts[[#This Row],[Discount]]&gt;1),"Check discount","OK")</f>
        <v>OK</v>
      </c>
      <c r="K15" t="str">
        <f t="shared" si="2"/>
        <v>High Discount</v>
      </c>
      <c r="L15" t="str">
        <f>IF(tblProducts[[#This Row],[Current Price]]="","Missing",IF(tblProducts[[#This Row],[Current Price]]&lt;=Price_Q1,"Low Price",IF(tblProducts[[#This Row],[Current Price]]&lt;=Price_Q3,"Medium Price","High Price")))</f>
        <v>Medium Price</v>
      </c>
      <c r="M15" t="str">
        <f>IF(tblProducts[[#This Row],[Current Price]]&gt;tblProducts[[#This Row],[Old Price]],"Check prices","OK")</f>
        <v>OK</v>
      </c>
      <c r="N15" t="str">
        <f>IF(tblProducts[[#This Row],[Review]]="","Missing",IF(tblProducts[[#This Row],[Review]]&gt;=Review_P75,"Strong Engagement","Normal"))</f>
        <v>Normal</v>
      </c>
    </row>
    <row r="16" spans="1:14" x14ac:dyDescent="0.25">
      <c r="A16" t="s">
        <v>53</v>
      </c>
      <c r="B16" s="8">
        <v>1680</v>
      </c>
      <c r="C16" s="8">
        <v>2499</v>
      </c>
      <c r="D16" s="6">
        <v>0.33</v>
      </c>
      <c r="E16" s="14">
        <v>9</v>
      </c>
      <c r="F16" s="17">
        <v>4.2</v>
      </c>
      <c r="G16" s="3" t="str">
        <f>IF(OR(tblProducts[[#This Row],[Rating]]&lt;0,tblProducts[[#This Row],[Rating]]&gt;5),"Check rating","OK")</f>
        <v>OK</v>
      </c>
      <c r="H16" s="7">
        <f t="shared" si="0"/>
        <v>819</v>
      </c>
      <c r="I16" s="3" t="str">
        <f t="shared" si="1"/>
        <v>Unclassified</v>
      </c>
      <c r="J16" s="3" t="str">
        <f>IF(OR(tblProducts[[#This Row],[Discount]]&lt;0,tblProducts[[#This Row],[Discount]]&gt;1),"Check discount","OK")</f>
        <v>OK</v>
      </c>
      <c r="K16" t="str">
        <f t="shared" si="2"/>
        <v>Medium Discount</v>
      </c>
      <c r="L16" t="str">
        <f>IF(tblProducts[[#This Row],[Current Price]]="","Missing",IF(tblProducts[[#This Row],[Current Price]]&lt;=Price_Q1,"Low Price",IF(tblProducts[[#This Row],[Current Price]]&lt;=Price_Q3,"Medium Price","High Price")))</f>
        <v>High Price</v>
      </c>
      <c r="M16" t="str">
        <f>IF(tblProducts[[#This Row],[Current Price]]&gt;tblProducts[[#This Row],[Old Price]],"Check prices","OK")</f>
        <v>OK</v>
      </c>
      <c r="N16" t="str">
        <f>IF(tblProducts[[#This Row],[Review]]="","Missing",IF(tblProducts[[#This Row],[Review]]&gt;=Review_P75,"Strong Engagement","Normal"))</f>
        <v>Normal</v>
      </c>
    </row>
    <row r="17" spans="1:14" x14ac:dyDescent="0.25">
      <c r="A17" t="s">
        <v>56</v>
      </c>
      <c r="B17" s="8">
        <v>332</v>
      </c>
      <c r="C17" s="8">
        <v>684</v>
      </c>
      <c r="D17" s="6">
        <v>0.51</v>
      </c>
      <c r="E17" s="14">
        <v>2</v>
      </c>
      <c r="F17" s="17">
        <v>5</v>
      </c>
      <c r="G17" s="3" t="str">
        <f>IF(OR(tblProducts[[#This Row],[Rating]]&lt;0,tblProducts[[#This Row],[Rating]]&gt;5),"Check rating","OK")</f>
        <v>OK</v>
      </c>
      <c r="H17" s="7">
        <f t="shared" si="0"/>
        <v>352</v>
      </c>
      <c r="I17" s="3" t="str">
        <f t="shared" si="1"/>
        <v>Excellent</v>
      </c>
      <c r="J17" s="3" t="str">
        <f>IF(OR(tblProducts[[#This Row],[Discount]]&lt;0,tblProducts[[#This Row],[Discount]]&gt;1),"Check discount","OK")</f>
        <v>OK</v>
      </c>
      <c r="K17" t="str">
        <f t="shared" si="2"/>
        <v>High Discount</v>
      </c>
      <c r="L17" t="str">
        <f>IF(tblProducts[[#This Row],[Current Price]]="","Missing",IF(tblProducts[[#This Row],[Current Price]]&lt;=Price_Q1,"Low Price",IF(tblProducts[[#This Row],[Current Price]]&lt;=Price_Q3,"Medium Price","High Price")))</f>
        <v>Low Price</v>
      </c>
      <c r="M17" t="str">
        <f>IF(tblProducts[[#This Row],[Current Price]]&gt;tblProducts[[#This Row],[Old Price]],"Check prices","OK")</f>
        <v>OK</v>
      </c>
      <c r="N17" t="str">
        <f>IF(tblProducts[[#This Row],[Review]]="","Missing",IF(tblProducts[[#This Row],[Review]]&gt;=Review_P75,"Strong Engagement","Normal"))</f>
        <v>Normal</v>
      </c>
    </row>
    <row r="18" spans="1:14" x14ac:dyDescent="0.25">
      <c r="A18" t="s">
        <v>60</v>
      </c>
      <c r="B18" s="8">
        <v>195</v>
      </c>
      <c r="C18" s="8">
        <v>360</v>
      </c>
      <c r="D18" s="6">
        <v>0.46</v>
      </c>
      <c r="E18" s="14">
        <v>2</v>
      </c>
      <c r="F18" s="17">
        <v>5</v>
      </c>
      <c r="G18" s="3" t="str">
        <f>IF(OR(tblProducts[[#This Row],[Rating]]&lt;0,tblProducts[[#This Row],[Rating]]&gt;5),"Check rating","OK")</f>
        <v>OK</v>
      </c>
      <c r="H18" s="7">
        <f t="shared" si="0"/>
        <v>165</v>
      </c>
      <c r="I18" s="3" t="str">
        <f t="shared" si="1"/>
        <v>Excellent</v>
      </c>
      <c r="J18" s="3" t="str">
        <f>IF(OR(tblProducts[[#This Row],[Discount]]&lt;0,tblProducts[[#This Row],[Discount]]&gt;1),"Check discount","OK")</f>
        <v>OK</v>
      </c>
      <c r="K18" t="str">
        <f t="shared" si="2"/>
        <v>High Discount</v>
      </c>
      <c r="L18" t="str">
        <f>IF(tblProducts[[#This Row],[Current Price]]="","Missing",IF(tblProducts[[#This Row],[Current Price]]&lt;=Price_Q1,"Low Price",IF(tblProducts[[#This Row],[Current Price]]&lt;=Price_Q3,"Medium Price","High Price")))</f>
        <v>Low Price</v>
      </c>
      <c r="M18" t="str">
        <f>IF(tblProducts[[#This Row],[Current Price]]&gt;tblProducts[[#This Row],[Old Price]],"Check prices","OK")</f>
        <v>OK</v>
      </c>
      <c r="N18" t="str">
        <f>IF(tblProducts[[#This Row],[Review]]="","Missing",IF(tblProducts[[#This Row],[Review]]&gt;=Review_P75,"Strong Engagement","Normal"))</f>
        <v>Normal</v>
      </c>
    </row>
    <row r="19" spans="1:14" x14ac:dyDescent="0.25">
      <c r="A19" t="s">
        <v>63</v>
      </c>
      <c r="B19" s="8">
        <v>2025</v>
      </c>
      <c r="C19" s="8">
        <v>3971</v>
      </c>
      <c r="D19" s="6">
        <v>0.49</v>
      </c>
      <c r="E19" s="14">
        <v>3</v>
      </c>
      <c r="F19" s="17">
        <v>5</v>
      </c>
      <c r="G19" s="3" t="str">
        <f>IF(OR(tblProducts[[#This Row],[Rating]]&lt;0,tblProducts[[#This Row],[Rating]]&gt;5),"Check rating","OK")</f>
        <v>OK</v>
      </c>
      <c r="H19" s="7">
        <f t="shared" si="0"/>
        <v>1946</v>
      </c>
      <c r="I19" s="3" t="str">
        <f t="shared" si="1"/>
        <v>Excellent</v>
      </c>
      <c r="J19" s="3" t="str">
        <f>IF(OR(tblProducts[[#This Row],[Discount]]&lt;0,tblProducts[[#This Row],[Discount]]&gt;1),"Check discount","OK")</f>
        <v>OK</v>
      </c>
      <c r="K19" t="str">
        <f t="shared" si="2"/>
        <v>High Discount</v>
      </c>
      <c r="L19" t="str">
        <f>IF(tblProducts[[#This Row],[Current Price]]="","Missing",IF(tblProducts[[#This Row],[Current Price]]&lt;=Price_Q1,"Low Price",IF(tblProducts[[#This Row],[Current Price]]&lt;=Price_Q3,"Medium Price","High Price")))</f>
        <v>High Price</v>
      </c>
      <c r="M19" t="str">
        <f>IF(tblProducts[[#This Row],[Current Price]]&gt;tblProducts[[#This Row],[Old Price]],"Check prices","OK")</f>
        <v>OK</v>
      </c>
      <c r="N19" t="str">
        <f>IF(tblProducts[[#This Row],[Review]]="","Missing",IF(tblProducts[[#This Row],[Review]]&gt;=Review_P75,"Strong Engagement","Normal"))</f>
        <v>Normal</v>
      </c>
    </row>
    <row r="20" spans="1:14" x14ac:dyDescent="0.25">
      <c r="A20" t="s">
        <v>66</v>
      </c>
      <c r="B20" s="8">
        <v>2999</v>
      </c>
      <c r="C20" s="8">
        <v>3699</v>
      </c>
      <c r="D20" s="6">
        <v>0.19</v>
      </c>
      <c r="E20" s="14">
        <v>5</v>
      </c>
      <c r="F20" s="17">
        <v>4.5999999999999996</v>
      </c>
      <c r="G20" s="3" t="str">
        <f>IF(OR(tblProducts[[#This Row],[Rating]]&lt;0,tblProducts[[#This Row],[Rating]]&gt;5),"Check rating","OK")</f>
        <v>OK</v>
      </c>
      <c r="H20" s="7">
        <f t="shared" si="0"/>
        <v>700</v>
      </c>
      <c r="I20" s="3" t="str">
        <f t="shared" si="1"/>
        <v>Excellent</v>
      </c>
      <c r="J20" s="3" t="str">
        <f>IF(OR(tblProducts[[#This Row],[Discount]]&lt;0,tblProducts[[#This Row],[Discount]]&gt;1),"Check discount","OK")</f>
        <v>OK</v>
      </c>
      <c r="K20" t="str">
        <f t="shared" si="2"/>
        <v>Low Discount</v>
      </c>
      <c r="L20" t="str">
        <f>IF(tblProducts[[#This Row],[Current Price]]="","Missing",IF(tblProducts[[#This Row],[Current Price]]&lt;=Price_Q1,"Low Price",IF(tblProducts[[#This Row],[Current Price]]&lt;=Price_Q3,"Medium Price","High Price")))</f>
        <v>High Price</v>
      </c>
      <c r="M20" t="str">
        <f>IF(tblProducts[[#This Row],[Current Price]]&gt;tblProducts[[#This Row],[Old Price]],"Check prices","OK")</f>
        <v>OK</v>
      </c>
      <c r="N20" t="str">
        <f>IF(tblProducts[[#This Row],[Review]]="","Missing",IF(tblProducts[[#This Row],[Review]]&gt;=Review_P75,"Strong Engagement","Normal"))</f>
        <v>Normal</v>
      </c>
    </row>
    <row r="21" spans="1:14" x14ac:dyDescent="0.25">
      <c r="A21" t="s">
        <v>68</v>
      </c>
      <c r="B21" s="8">
        <v>998</v>
      </c>
      <c r="C21" s="8">
        <v>1966</v>
      </c>
      <c r="D21" s="6">
        <v>0.49</v>
      </c>
      <c r="E21" s="14">
        <v>44</v>
      </c>
      <c r="F21" s="17">
        <v>4.5999999999999996</v>
      </c>
      <c r="G21" s="3" t="str">
        <f>IF(OR(tblProducts[[#This Row],[Rating]]&lt;0,tblProducts[[#This Row],[Rating]]&gt;5),"Check rating","OK")</f>
        <v>OK</v>
      </c>
      <c r="H21" s="7">
        <f t="shared" si="0"/>
        <v>968</v>
      </c>
      <c r="I21" s="3" t="str">
        <f t="shared" si="1"/>
        <v>Excellent</v>
      </c>
      <c r="J21" s="3" t="str">
        <f>IF(OR(tblProducts[[#This Row],[Discount]]&lt;0,tblProducts[[#This Row],[Discount]]&gt;1),"Check discount","OK")</f>
        <v>OK</v>
      </c>
      <c r="K21" t="str">
        <f t="shared" si="2"/>
        <v>High Discount</v>
      </c>
      <c r="L21" t="str">
        <f>IF(tblProducts[[#This Row],[Current Price]]="","Missing",IF(tblProducts[[#This Row],[Current Price]]&lt;=Price_Q1,"Low Price",IF(tblProducts[[#This Row],[Current Price]]&lt;=Price_Q3,"Medium Price","High Price")))</f>
        <v>Medium Price</v>
      </c>
      <c r="M21" t="str">
        <f>IF(tblProducts[[#This Row],[Current Price]]&gt;tblProducts[[#This Row],[Old Price]],"Check prices","OK")</f>
        <v>OK</v>
      </c>
      <c r="N21" t="str">
        <f>IF(tblProducts[[#This Row],[Review]]="","Missing",IF(tblProducts[[#This Row],[Review]]&gt;=Review_P75,"Strong Engagement","Normal"))</f>
        <v>Strong Engagement</v>
      </c>
    </row>
    <row r="22" spans="1:14" x14ac:dyDescent="0.25">
      <c r="A22" t="s">
        <v>71</v>
      </c>
      <c r="B22" s="8">
        <v>38</v>
      </c>
      <c r="C22" s="8">
        <v>80</v>
      </c>
      <c r="D22" s="6">
        <v>0.53</v>
      </c>
      <c r="E22" s="14">
        <v>13</v>
      </c>
      <c r="F22" s="17">
        <v>3.3</v>
      </c>
      <c r="G22" s="3" t="str">
        <f>IF(OR(tblProducts[[#This Row],[Rating]]&lt;0,tblProducts[[#This Row],[Rating]]&gt;5),"Check rating","OK")</f>
        <v>OK</v>
      </c>
      <c r="H22" s="7">
        <f t="shared" si="0"/>
        <v>42</v>
      </c>
      <c r="I22" s="3" t="str">
        <f t="shared" si="1"/>
        <v>Average</v>
      </c>
      <c r="J22" s="3" t="str">
        <f>IF(OR(tblProducts[[#This Row],[Discount]]&lt;0,tblProducts[[#This Row],[Discount]]&gt;1),"Check discount","OK")</f>
        <v>OK</v>
      </c>
      <c r="K22" t="str">
        <f t="shared" si="2"/>
        <v>High Discount</v>
      </c>
      <c r="L22" t="str">
        <f>IF(tblProducts[[#This Row],[Current Price]]="","Missing",IF(tblProducts[[#This Row],[Current Price]]&lt;=Price_Q1,"Low Price",IF(tblProducts[[#This Row],[Current Price]]&lt;=Price_Q3,"Medium Price","High Price")))</f>
        <v>Low Price</v>
      </c>
      <c r="M22" t="str">
        <f>IF(tblProducts[[#This Row],[Current Price]]&gt;tblProducts[[#This Row],[Old Price]],"Check prices","OK")</f>
        <v>OK</v>
      </c>
      <c r="N22" t="str">
        <f>IF(tblProducts[[#This Row],[Review]]="","Missing",IF(tblProducts[[#This Row],[Review]]&gt;=Review_P75,"Strong Engagement","Normal"))</f>
        <v>Normal</v>
      </c>
    </row>
    <row r="23" spans="1:14" x14ac:dyDescent="0.25">
      <c r="A23" t="s">
        <v>75</v>
      </c>
      <c r="B23" s="8">
        <v>1860</v>
      </c>
      <c r="C23" s="8">
        <v>3220</v>
      </c>
      <c r="D23" s="6">
        <v>0.42</v>
      </c>
      <c r="G23" s="3" t="str">
        <f>IF(OR(tblProducts[[#This Row],[Rating]]&lt;0,tblProducts[[#This Row],[Rating]]&gt;5),"Check rating","OK")</f>
        <v>OK</v>
      </c>
      <c r="H23" s="7">
        <f t="shared" si="0"/>
        <v>1360</v>
      </c>
      <c r="I23" s="3" t="str">
        <f t="shared" si="1"/>
        <v>Rating not provided</v>
      </c>
      <c r="J23" s="3" t="str">
        <f>IF(OR(tblProducts[[#This Row],[Discount]]&lt;0,tblProducts[[#This Row],[Discount]]&gt;1),"Check discount","OK")</f>
        <v>OK</v>
      </c>
      <c r="K23" t="str">
        <f t="shared" si="2"/>
        <v>High Discount</v>
      </c>
      <c r="L23" t="str">
        <f>IF(tblProducts[[#This Row],[Current Price]]="","Missing",IF(tblProducts[[#This Row],[Current Price]]&lt;=Price_Q1,"Low Price",IF(tblProducts[[#This Row],[Current Price]]&lt;=Price_Q3,"Medium Price","High Price")))</f>
        <v>High Price</v>
      </c>
      <c r="M23" t="str">
        <f>IF(tblProducts[[#This Row],[Current Price]]&gt;tblProducts[[#This Row],[Old Price]],"Check prices","OK")</f>
        <v>OK</v>
      </c>
      <c r="N23" t="str">
        <f>IF(tblProducts[[#This Row],[Review]]="","Missing",IF(tblProducts[[#This Row],[Review]]&gt;=Review_P75,"Strong Engagement","Normal"))</f>
        <v>Missing</v>
      </c>
    </row>
    <row r="24" spans="1:14" x14ac:dyDescent="0.25">
      <c r="A24" t="s">
        <v>79</v>
      </c>
      <c r="B24" s="8">
        <v>880</v>
      </c>
      <c r="C24" s="8">
        <v>1350</v>
      </c>
      <c r="D24" s="6">
        <v>0.35</v>
      </c>
      <c r="E24" s="14">
        <v>6</v>
      </c>
      <c r="F24" s="17">
        <v>4</v>
      </c>
      <c r="G24" s="3" t="str">
        <f>IF(OR(tblProducts[[#This Row],[Rating]]&lt;0,tblProducts[[#This Row],[Rating]]&gt;5),"Check rating","OK")</f>
        <v>OK</v>
      </c>
      <c r="H24" s="7">
        <f t="shared" si="0"/>
        <v>470</v>
      </c>
      <c r="I24" s="3" t="str">
        <f t="shared" si="1"/>
        <v>Average</v>
      </c>
      <c r="J24" s="3" t="str">
        <f>IF(OR(tblProducts[[#This Row],[Discount]]&lt;0,tblProducts[[#This Row],[Discount]]&gt;1),"Check discount","OK")</f>
        <v>OK</v>
      </c>
      <c r="K24" t="str">
        <f t="shared" si="2"/>
        <v>Medium Discount</v>
      </c>
      <c r="L24" t="str">
        <f>IF(tblProducts[[#This Row],[Current Price]]="","Missing",IF(tblProducts[[#This Row],[Current Price]]&lt;=Price_Q1,"Low Price",IF(tblProducts[[#This Row],[Current Price]]&lt;=Price_Q3,"Medium Price","High Price")))</f>
        <v>Medium Price</v>
      </c>
      <c r="M24" t="str">
        <f>IF(tblProducts[[#This Row],[Current Price]]&gt;tblProducts[[#This Row],[Old Price]],"Check prices","OK")</f>
        <v>OK</v>
      </c>
      <c r="N24" t="str">
        <f>IF(tblProducts[[#This Row],[Review]]="","Missing",IF(tblProducts[[#This Row],[Review]]&gt;=Review_P75,"Strong Engagement","Normal"))</f>
        <v>Normal</v>
      </c>
    </row>
    <row r="25" spans="1:14" x14ac:dyDescent="0.25">
      <c r="A25" t="s">
        <v>82</v>
      </c>
      <c r="B25" s="8">
        <v>1650</v>
      </c>
      <c r="C25" s="8">
        <v>2150</v>
      </c>
      <c r="D25" s="6">
        <v>0.23</v>
      </c>
      <c r="E25" s="14">
        <v>14</v>
      </c>
      <c r="F25" s="17">
        <v>4.4000000000000004</v>
      </c>
      <c r="G25" s="3" t="str">
        <f>IF(OR(tblProducts[[#This Row],[Rating]]&lt;0,tblProducts[[#This Row],[Rating]]&gt;5),"Check rating","OK")</f>
        <v>OK</v>
      </c>
      <c r="H25" s="7">
        <f t="shared" si="0"/>
        <v>500</v>
      </c>
      <c r="I25" s="3" t="str">
        <f t="shared" si="1"/>
        <v>Unclassified</v>
      </c>
      <c r="J25" s="3" t="str">
        <f>IF(OR(tblProducts[[#This Row],[Discount]]&lt;0,tblProducts[[#This Row],[Discount]]&gt;1),"Check discount","OK")</f>
        <v>OK</v>
      </c>
      <c r="K25" t="str">
        <f t="shared" si="2"/>
        <v>Medium Discount</v>
      </c>
      <c r="L25" t="str">
        <f>IF(tblProducts[[#This Row],[Current Price]]="","Missing",IF(tblProducts[[#This Row],[Current Price]]&lt;=Price_Q1,"Low Price",IF(tblProducts[[#This Row],[Current Price]]&lt;=Price_Q3,"Medium Price","High Price")))</f>
        <v>Medium Price</v>
      </c>
      <c r="M25" t="str">
        <f>IF(tblProducts[[#This Row],[Current Price]]&gt;tblProducts[[#This Row],[Old Price]],"Check prices","OK")</f>
        <v>OK</v>
      </c>
      <c r="N25" t="str">
        <f>IF(tblProducts[[#This Row],[Review]]="","Missing",IF(tblProducts[[#This Row],[Review]]&gt;=Review_P75,"Strong Engagement","Normal"))</f>
        <v>Strong Engagement</v>
      </c>
    </row>
    <row r="26" spans="1:14" x14ac:dyDescent="0.25">
      <c r="A26" t="s">
        <v>86</v>
      </c>
      <c r="B26" s="8">
        <v>2048</v>
      </c>
      <c r="C26" s="8">
        <v>4500</v>
      </c>
      <c r="D26" s="6">
        <v>0.54</v>
      </c>
      <c r="E26" s="14">
        <v>7</v>
      </c>
      <c r="F26" s="17">
        <v>4.3</v>
      </c>
      <c r="G26" s="3" t="str">
        <f>IF(OR(tblProducts[[#This Row],[Rating]]&lt;0,tblProducts[[#This Row],[Rating]]&gt;5),"Check rating","OK")</f>
        <v>OK</v>
      </c>
      <c r="H26" s="7">
        <f t="shared" si="0"/>
        <v>2452</v>
      </c>
      <c r="I26" s="3" t="str">
        <f t="shared" si="1"/>
        <v>Unclassified</v>
      </c>
      <c r="J26" s="3" t="str">
        <f>IF(OR(tblProducts[[#This Row],[Discount]]&lt;0,tblProducts[[#This Row],[Discount]]&gt;1),"Check discount","OK")</f>
        <v>OK</v>
      </c>
      <c r="K26" t="str">
        <f t="shared" si="2"/>
        <v>High Discount</v>
      </c>
      <c r="L26" t="str">
        <f>IF(tblProducts[[#This Row],[Current Price]]="","Missing",IF(tblProducts[[#This Row],[Current Price]]&lt;=Price_Q1,"Low Price",IF(tblProducts[[#This Row],[Current Price]]&lt;=Price_Q3,"Medium Price","High Price")))</f>
        <v>High Price</v>
      </c>
      <c r="M26" t="str">
        <f>IF(tblProducts[[#This Row],[Current Price]]&gt;tblProducts[[#This Row],[Old Price]],"Check prices","OK")</f>
        <v>OK</v>
      </c>
      <c r="N26" t="str">
        <f>IF(tblProducts[[#This Row],[Review]]="","Missing",IF(tblProducts[[#This Row],[Review]]&gt;=Review_P75,"Strong Engagement","Normal"))</f>
        <v>Normal</v>
      </c>
    </row>
    <row r="27" spans="1:14" x14ac:dyDescent="0.25">
      <c r="A27" t="s">
        <v>90</v>
      </c>
      <c r="B27" s="8">
        <v>420</v>
      </c>
      <c r="C27" s="8">
        <v>647</v>
      </c>
      <c r="D27" s="6">
        <v>0.35</v>
      </c>
      <c r="E27" s="14">
        <v>49</v>
      </c>
      <c r="F27" s="17">
        <v>4.5999999999999996</v>
      </c>
      <c r="G27" s="3" t="str">
        <f>IF(OR(tblProducts[[#This Row],[Rating]]&lt;0,tblProducts[[#This Row],[Rating]]&gt;5),"Check rating","OK")</f>
        <v>OK</v>
      </c>
      <c r="H27" s="7">
        <f t="shared" si="0"/>
        <v>227</v>
      </c>
      <c r="I27" s="3" t="str">
        <f t="shared" si="1"/>
        <v>Excellent</v>
      </c>
      <c r="J27" s="3" t="str">
        <f>IF(OR(tblProducts[[#This Row],[Discount]]&lt;0,tblProducts[[#This Row],[Discount]]&gt;1),"Check discount","OK")</f>
        <v>OK</v>
      </c>
      <c r="K27" t="str">
        <f t="shared" si="2"/>
        <v>Medium Discount</v>
      </c>
      <c r="L27" t="str">
        <f>IF(tblProducts[[#This Row],[Current Price]]="","Missing",IF(tblProducts[[#This Row],[Current Price]]&lt;=Price_Q1,"Low Price",IF(tblProducts[[#This Row],[Current Price]]&lt;=Price_Q3,"Medium Price","High Price")))</f>
        <v>Low Price</v>
      </c>
      <c r="M27" t="str">
        <f>IF(tblProducts[[#This Row],[Current Price]]&gt;tblProducts[[#This Row],[Old Price]],"Check prices","OK")</f>
        <v>OK</v>
      </c>
      <c r="N27" t="str">
        <f>IF(tblProducts[[#This Row],[Review]]="","Missing",IF(tblProducts[[#This Row],[Review]]&gt;=Review_P75,"Strong Engagement","Normal"))</f>
        <v>Strong Engagement</v>
      </c>
    </row>
    <row r="28" spans="1:14" x14ac:dyDescent="0.25">
      <c r="A28" t="s">
        <v>93</v>
      </c>
      <c r="B28" s="8">
        <v>2880</v>
      </c>
      <c r="C28" s="8">
        <v>3520</v>
      </c>
      <c r="D28" s="6">
        <v>0.18</v>
      </c>
      <c r="E28" s="14">
        <v>12</v>
      </c>
      <c r="F28" s="17">
        <v>3.8</v>
      </c>
      <c r="G28" s="3" t="str">
        <f>IF(OR(tblProducts[[#This Row],[Rating]]&lt;0,tblProducts[[#This Row],[Rating]]&gt;5),"Check rating","OK")</f>
        <v>OK</v>
      </c>
      <c r="H28" s="7">
        <f t="shared" si="0"/>
        <v>640</v>
      </c>
      <c r="I28" s="3" t="str">
        <f t="shared" si="1"/>
        <v>Average</v>
      </c>
      <c r="J28" s="3" t="str">
        <f>IF(OR(tblProducts[[#This Row],[Discount]]&lt;0,tblProducts[[#This Row],[Discount]]&gt;1),"Check discount","OK")</f>
        <v>OK</v>
      </c>
      <c r="K28" t="str">
        <f t="shared" si="2"/>
        <v>Low Discount</v>
      </c>
      <c r="L28" t="str">
        <f>IF(tblProducts[[#This Row],[Current Price]]="","Missing",IF(tblProducts[[#This Row],[Current Price]]&lt;=Price_Q1,"Low Price",IF(tblProducts[[#This Row],[Current Price]]&lt;=Price_Q3,"Medium Price","High Price")))</f>
        <v>High Price</v>
      </c>
      <c r="M28" t="str">
        <f>IF(tblProducts[[#This Row],[Current Price]]&gt;tblProducts[[#This Row],[Old Price]],"Check prices","OK")</f>
        <v>OK</v>
      </c>
      <c r="N28" t="str">
        <f>IF(tblProducts[[#This Row],[Review]]="","Missing",IF(tblProducts[[#This Row],[Review]]&gt;=Review_P75,"Strong Engagement","Normal"))</f>
        <v>Normal</v>
      </c>
    </row>
    <row r="29" spans="1:14" x14ac:dyDescent="0.25">
      <c r="A29" t="s">
        <v>96</v>
      </c>
      <c r="B29" s="8">
        <v>1350</v>
      </c>
      <c r="C29" s="8">
        <v>1990</v>
      </c>
      <c r="D29" s="6">
        <v>0.32</v>
      </c>
      <c r="E29" s="14">
        <v>13</v>
      </c>
      <c r="F29" s="17">
        <v>3.8</v>
      </c>
      <c r="G29" s="3" t="str">
        <f>IF(OR(tblProducts[[#This Row],[Rating]]&lt;0,tblProducts[[#This Row],[Rating]]&gt;5),"Check rating","OK")</f>
        <v>OK</v>
      </c>
      <c r="H29" s="7">
        <f t="shared" si="0"/>
        <v>640</v>
      </c>
      <c r="I29" s="3" t="str">
        <f t="shared" si="1"/>
        <v>Average</v>
      </c>
      <c r="J29" s="3" t="str">
        <f>IF(OR(tblProducts[[#This Row],[Discount]]&lt;0,tblProducts[[#This Row],[Discount]]&gt;1),"Check discount","OK")</f>
        <v>OK</v>
      </c>
      <c r="K29" t="str">
        <f t="shared" si="2"/>
        <v>Medium Discount</v>
      </c>
      <c r="L29" t="str">
        <f>IF(tblProducts[[#This Row],[Current Price]]="","Missing",IF(tblProducts[[#This Row],[Current Price]]&lt;=Price_Q1,"Low Price",IF(tblProducts[[#This Row],[Current Price]]&lt;=Price_Q3,"Medium Price","High Price")))</f>
        <v>Medium Price</v>
      </c>
      <c r="M29" t="str">
        <f>IF(tblProducts[[#This Row],[Current Price]]&gt;tblProducts[[#This Row],[Old Price]],"Check prices","OK")</f>
        <v>OK</v>
      </c>
      <c r="N29" t="str">
        <f>IF(tblProducts[[#This Row],[Review]]="","Missing",IF(tblProducts[[#This Row],[Review]]&gt;=Review_P75,"Strong Engagement","Normal"))</f>
        <v>Normal</v>
      </c>
    </row>
    <row r="30" spans="1:14" x14ac:dyDescent="0.25">
      <c r="A30" t="s">
        <v>98</v>
      </c>
      <c r="B30" s="8">
        <v>1758</v>
      </c>
      <c r="C30" s="8">
        <v>2499</v>
      </c>
      <c r="D30" s="6">
        <v>0.3</v>
      </c>
      <c r="E30" s="14">
        <v>20</v>
      </c>
      <c r="F30" s="17">
        <v>4.0999999999999996</v>
      </c>
      <c r="G30" s="3" t="str">
        <f>IF(OR(tblProducts[[#This Row],[Rating]]&lt;0,tblProducts[[#This Row],[Rating]]&gt;5),"Check rating","OK")</f>
        <v>OK</v>
      </c>
      <c r="H30" s="7">
        <f t="shared" si="0"/>
        <v>741</v>
      </c>
      <c r="I30" s="3" t="str">
        <f t="shared" si="1"/>
        <v>Unclassified</v>
      </c>
      <c r="J30" s="3" t="str">
        <f>IF(OR(tblProducts[[#This Row],[Discount]]&lt;0,tblProducts[[#This Row],[Discount]]&gt;1),"Check discount","OK")</f>
        <v>OK</v>
      </c>
      <c r="K30" t="str">
        <f t="shared" si="2"/>
        <v>Medium Discount</v>
      </c>
      <c r="L30" t="str">
        <f>IF(tblProducts[[#This Row],[Current Price]]="","Missing",IF(tblProducts[[#This Row],[Current Price]]&lt;=Price_Q1,"Low Price",IF(tblProducts[[#This Row],[Current Price]]&lt;=Price_Q3,"Medium Price","High Price")))</f>
        <v>High Price</v>
      </c>
      <c r="M30" t="str">
        <f>IF(tblProducts[[#This Row],[Current Price]]&gt;tblProducts[[#This Row],[Old Price]],"Check prices","OK")</f>
        <v>OK</v>
      </c>
      <c r="N30" t="str">
        <f>IF(tblProducts[[#This Row],[Review]]="","Missing",IF(tblProducts[[#This Row],[Review]]&gt;=Review_P75,"Strong Engagement","Normal"))</f>
        <v>Strong Engagement</v>
      </c>
    </row>
    <row r="31" spans="1:14" x14ac:dyDescent="0.25">
      <c r="A31" t="s">
        <v>100</v>
      </c>
      <c r="B31" s="8">
        <v>2200</v>
      </c>
      <c r="C31" s="8">
        <v>4080</v>
      </c>
      <c r="D31" s="6">
        <v>0.46</v>
      </c>
      <c r="G31" s="3" t="str">
        <f>IF(OR(tblProducts[[#This Row],[Rating]]&lt;0,tblProducts[[#This Row],[Rating]]&gt;5),"Check rating","OK")</f>
        <v>OK</v>
      </c>
      <c r="H31" s="7">
        <f t="shared" si="0"/>
        <v>1880</v>
      </c>
      <c r="I31" s="3" t="str">
        <f t="shared" si="1"/>
        <v>Rating not provided</v>
      </c>
      <c r="J31" s="3" t="str">
        <f>IF(OR(tblProducts[[#This Row],[Discount]]&lt;0,tblProducts[[#This Row],[Discount]]&gt;1),"Check discount","OK")</f>
        <v>OK</v>
      </c>
      <c r="K31" t="str">
        <f t="shared" si="2"/>
        <v>High Discount</v>
      </c>
      <c r="L31" t="str">
        <f>IF(tblProducts[[#This Row],[Current Price]]="","Missing",IF(tblProducts[[#This Row],[Current Price]]&lt;=Price_Q1,"Low Price",IF(tblProducts[[#This Row],[Current Price]]&lt;=Price_Q3,"Medium Price","High Price")))</f>
        <v>High Price</v>
      </c>
      <c r="M31" t="str">
        <f>IF(tblProducts[[#This Row],[Current Price]]&gt;tblProducts[[#This Row],[Old Price]],"Check prices","OK")</f>
        <v>OK</v>
      </c>
      <c r="N31" t="str">
        <f>IF(tblProducts[[#This Row],[Review]]="","Missing",IF(tblProducts[[#This Row],[Review]]&gt;=Review_P75,"Strong Engagement","Normal"))</f>
        <v>Missing</v>
      </c>
    </row>
    <row r="32" spans="1:14" x14ac:dyDescent="0.25">
      <c r="A32" t="s">
        <v>103</v>
      </c>
      <c r="B32" s="8">
        <v>185</v>
      </c>
      <c r="C32" s="8">
        <v>382</v>
      </c>
      <c r="D32" s="6">
        <v>0.52</v>
      </c>
      <c r="E32" s="14">
        <v>9</v>
      </c>
      <c r="F32" s="17">
        <v>4.3</v>
      </c>
      <c r="G32" s="3" t="str">
        <f>IF(OR(tblProducts[[#This Row],[Rating]]&lt;0,tblProducts[[#This Row],[Rating]]&gt;5),"Check rating","OK")</f>
        <v>OK</v>
      </c>
      <c r="H32" s="7">
        <f t="shared" si="0"/>
        <v>197</v>
      </c>
      <c r="I32" s="3" t="str">
        <f t="shared" si="1"/>
        <v>Unclassified</v>
      </c>
      <c r="J32" s="3" t="str">
        <f>IF(OR(tblProducts[[#This Row],[Discount]]&lt;0,tblProducts[[#This Row],[Discount]]&gt;1),"Check discount","OK")</f>
        <v>OK</v>
      </c>
      <c r="K32" t="str">
        <f t="shared" si="2"/>
        <v>High Discount</v>
      </c>
      <c r="L32" t="str">
        <f>IF(tblProducts[[#This Row],[Current Price]]="","Missing",IF(tblProducts[[#This Row],[Current Price]]&lt;=Price_Q1,"Low Price",IF(tblProducts[[#This Row],[Current Price]]&lt;=Price_Q3,"Medium Price","High Price")))</f>
        <v>Low Price</v>
      </c>
      <c r="M32" t="str">
        <f>IF(tblProducts[[#This Row],[Current Price]]&gt;tblProducts[[#This Row],[Old Price]],"Check prices","OK")</f>
        <v>OK</v>
      </c>
      <c r="N32" t="str">
        <f>IF(tblProducts[[#This Row],[Review]]="","Missing",IF(tblProducts[[#This Row],[Review]]&gt;=Review_P75,"Strong Engagement","Normal"))</f>
        <v>Normal</v>
      </c>
    </row>
    <row r="33" spans="1:14" x14ac:dyDescent="0.25">
      <c r="A33" t="s">
        <v>106</v>
      </c>
      <c r="B33" s="8">
        <v>980</v>
      </c>
      <c r="C33" s="8">
        <v>1490</v>
      </c>
      <c r="D33" s="6">
        <v>0.34</v>
      </c>
      <c r="E33" s="14">
        <v>12</v>
      </c>
      <c r="F33" s="17">
        <v>4.7</v>
      </c>
      <c r="G33" s="3" t="str">
        <f>IF(OR(tblProducts[[#This Row],[Rating]]&lt;0,tblProducts[[#This Row],[Rating]]&gt;5),"Check rating","OK")</f>
        <v>OK</v>
      </c>
      <c r="H33" s="7">
        <f t="shared" si="0"/>
        <v>510</v>
      </c>
      <c r="I33" s="3" t="str">
        <f t="shared" si="1"/>
        <v>Excellent</v>
      </c>
      <c r="J33" s="3" t="str">
        <f>IF(OR(tblProducts[[#This Row],[Discount]]&lt;0,tblProducts[[#This Row],[Discount]]&gt;1),"Check discount","OK")</f>
        <v>OK</v>
      </c>
      <c r="K33" t="str">
        <f t="shared" si="2"/>
        <v>Medium Discount</v>
      </c>
      <c r="L33" t="str">
        <f>IF(tblProducts[[#This Row],[Current Price]]="","Missing",IF(tblProducts[[#This Row],[Current Price]]&lt;=Price_Q1,"Low Price",IF(tblProducts[[#This Row],[Current Price]]&lt;=Price_Q3,"Medium Price","High Price")))</f>
        <v>Medium Price</v>
      </c>
      <c r="M33" t="str">
        <f>IF(tblProducts[[#This Row],[Current Price]]&gt;tblProducts[[#This Row],[Old Price]],"Check prices","OK")</f>
        <v>OK</v>
      </c>
      <c r="N33" t="str">
        <f>IF(tblProducts[[#This Row],[Review]]="","Missing",IF(tblProducts[[#This Row],[Review]]&gt;=Review_P75,"Strong Engagement","Normal"))</f>
        <v>Normal</v>
      </c>
    </row>
    <row r="34" spans="1:14" x14ac:dyDescent="0.25">
      <c r="A34" t="s">
        <v>109</v>
      </c>
      <c r="B34" s="8">
        <v>1820</v>
      </c>
      <c r="C34" s="8">
        <v>3490</v>
      </c>
      <c r="D34" s="6">
        <v>0.48</v>
      </c>
      <c r="E34" s="14">
        <v>9</v>
      </c>
      <c r="F34" s="17">
        <v>4.3</v>
      </c>
      <c r="G34" s="3" t="str">
        <f>IF(OR(tblProducts[[#This Row],[Rating]]&lt;0,tblProducts[[#This Row],[Rating]]&gt;5),"Check rating","OK")</f>
        <v>OK</v>
      </c>
      <c r="H34" s="7">
        <f t="shared" ref="H34:H65" si="3">(C34-B34)</f>
        <v>1670</v>
      </c>
      <c r="I34" s="3" t="str">
        <f t="shared" ref="I34:I65" si="4">IF(ISBLANK(F34), "Rating not provided", IF(F34&lt;3,"Poor", IF(AND(F34&gt;=3, F34 &lt;=4),"Average", IF(F34&gt;=4.5,"Excellent", "Unclassified"))))</f>
        <v>Unclassified</v>
      </c>
      <c r="J34" s="3" t="str">
        <f>IF(OR(tblProducts[[#This Row],[Discount]]&lt;0,tblProducts[[#This Row],[Discount]]&gt;1),"Check discount","OK")</f>
        <v>OK</v>
      </c>
      <c r="K34" t="str">
        <f t="shared" ref="K34:K65" si="5">IF(ISBLANK(D34), "Missing", IF(D34&lt;20%, "Low Discount", IF(D34&lt;=40%, "Medium Discount", "High Discount")))</f>
        <v>High Discount</v>
      </c>
      <c r="L34" t="str">
        <f>IF(tblProducts[[#This Row],[Current Price]]="","Missing",IF(tblProducts[[#This Row],[Current Price]]&lt;=Price_Q1,"Low Price",IF(tblProducts[[#This Row],[Current Price]]&lt;=Price_Q3,"Medium Price","High Price")))</f>
        <v>High Price</v>
      </c>
      <c r="M34" t="str">
        <f>IF(tblProducts[[#This Row],[Current Price]]&gt;tblProducts[[#This Row],[Old Price]],"Check prices","OK")</f>
        <v>OK</v>
      </c>
      <c r="N34" t="str">
        <f>IF(tblProducts[[#This Row],[Review]]="","Missing",IF(tblProducts[[#This Row],[Review]]&gt;=Review_P75,"Strong Engagement","Normal"))</f>
        <v>Normal</v>
      </c>
    </row>
    <row r="35" spans="1:14" x14ac:dyDescent="0.25">
      <c r="A35" t="s">
        <v>112</v>
      </c>
      <c r="B35" s="8">
        <v>1940</v>
      </c>
      <c r="C35" s="8">
        <v>2650</v>
      </c>
      <c r="D35" s="6">
        <v>0.27</v>
      </c>
      <c r="E35" s="14">
        <v>20</v>
      </c>
      <c r="F35" s="17">
        <v>4.7</v>
      </c>
      <c r="G35" s="3" t="str">
        <f>IF(OR(tblProducts[[#This Row],[Rating]]&lt;0,tblProducts[[#This Row],[Rating]]&gt;5),"Check rating","OK")</f>
        <v>OK</v>
      </c>
      <c r="H35" s="7">
        <f t="shared" si="3"/>
        <v>710</v>
      </c>
      <c r="I35" s="3" t="str">
        <f t="shared" si="4"/>
        <v>Excellent</v>
      </c>
      <c r="J35" s="3" t="str">
        <f>IF(OR(tblProducts[[#This Row],[Discount]]&lt;0,tblProducts[[#This Row],[Discount]]&gt;1),"Check discount","OK")</f>
        <v>OK</v>
      </c>
      <c r="K35" t="str">
        <f t="shared" si="5"/>
        <v>Medium Discount</v>
      </c>
      <c r="L35" t="str">
        <f>IF(tblProducts[[#This Row],[Current Price]]="","Missing",IF(tblProducts[[#This Row],[Current Price]]&lt;=Price_Q1,"Low Price",IF(tblProducts[[#This Row],[Current Price]]&lt;=Price_Q3,"Medium Price","High Price")))</f>
        <v>High Price</v>
      </c>
      <c r="M35" t="str">
        <f>IF(tblProducts[[#This Row],[Current Price]]&gt;tblProducts[[#This Row],[Old Price]],"Check prices","OK")</f>
        <v>OK</v>
      </c>
      <c r="N35" t="str">
        <f>IF(tblProducts[[#This Row],[Review]]="","Missing",IF(tblProducts[[#This Row],[Review]]&gt;=Review_P75,"Strong Engagement","Normal"))</f>
        <v>Strong Engagement</v>
      </c>
    </row>
    <row r="36" spans="1:14" x14ac:dyDescent="0.25">
      <c r="A36" t="s">
        <v>115</v>
      </c>
      <c r="B36" s="8">
        <v>1980</v>
      </c>
      <c r="C36" s="8">
        <v>2699</v>
      </c>
      <c r="D36" s="6">
        <v>0.27</v>
      </c>
      <c r="E36" s="14">
        <v>32</v>
      </c>
      <c r="F36" s="17">
        <v>4.5</v>
      </c>
      <c r="G36" s="3" t="str">
        <f>IF(OR(tblProducts[[#This Row],[Rating]]&lt;0,tblProducts[[#This Row],[Rating]]&gt;5),"Check rating","OK")</f>
        <v>OK</v>
      </c>
      <c r="H36" s="7">
        <f t="shared" si="3"/>
        <v>719</v>
      </c>
      <c r="I36" s="3" t="str">
        <f t="shared" si="4"/>
        <v>Excellent</v>
      </c>
      <c r="J36" s="3" t="str">
        <f>IF(OR(tblProducts[[#This Row],[Discount]]&lt;0,tblProducts[[#This Row],[Discount]]&gt;1),"Check discount","OK")</f>
        <v>OK</v>
      </c>
      <c r="K36" t="str">
        <f t="shared" si="5"/>
        <v>Medium Discount</v>
      </c>
      <c r="L36" t="str">
        <f>IF(tblProducts[[#This Row],[Current Price]]="","Missing",IF(tblProducts[[#This Row],[Current Price]]&lt;=Price_Q1,"Low Price",IF(tblProducts[[#This Row],[Current Price]]&lt;=Price_Q3,"Medium Price","High Price")))</f>
        <v>High Price</v>
      </c>
      <c r="M36" t="str">
        <f>IF(tblProducts[[#This Row],[Current Price]]&gt;tblProducts[[#This Row],[Old Price]],"Check prices","OK")</f>
        <v>OK</v>
      </c>
      <c r="N36" t="str">
        <f>IF(tblProducts[[#This Row],[Review]]="","Missing",IF(tblProducts[[#This Row],[Review]]&gt;=Review_P75,"Strong Engagement","Normal"))</f>
        <v>Strong Engagement</v>
      </c>
    </row>
    <row r="37" spans="1:14" x14ac:dyDescent="0.25">
      <c r="A37" t="s">
        <v>118</v>
      </c>
      <c r="B37" s="8">
        <v>1620</v>
      </c>
      <c r="C37" s="8">
        <v>2690</v>
      </c>
      <c r="D37" s="6">
        <v>0.4</v>
      </c>
      <c r="E37" s="14">
        <v>1</v>
      </c>
      <c r="F37" s="17">
        <v>5</v>
      </c>
      <c r="G37" s="3" t="str">
        <f>IF(OR(tblProducts[[#This Row],[Rating]]&lt;0,tblProducts[[#This Row],[Rating]]&gt;5),"Check rating","OK")</f>
        <v>OK</v>
      </c>
      <c r="H37" s="7">
        <f t="shared" si="3"/>
        <v>1070</v>
      </c>
      <c r="I37" s="3" t="str">
        <f t="shared" si="4"/>
        <v>Excellent</v>
      </c>
      <c r="J37" s="3" t="str">
        <f>IF(OR(tblProducts[[#This Row],[Discount]]&lt;0,tblProducts[[#This Row],[Discount]]&gt;1),"Check discount","OK")</f>
        <v>OK</v>
      </c>
      <c r="K37" t="str">
        <f t="shared" si="5"/>
        <v>Medium Discount</v>
      </c>
      <c r="L37" t="str">
        <f>IF(tblProducts[[#This Row],[Current Price]]="","Missing",IF(tblProducts[[#This Row],[Current Price]]&lt;=Price_Q1,"Low Price",IF(tblProducts[[#This Row],[Current Price]]&lt;=Price_Q3,"Medium Price","High Price")))</f>
        <v>Medium Price</v>
      </c>
      <c r="M37" t="str">
        <f>IF(tblProducts[[#This Row],[Current Price]]&gt;tblProducts[[#This Row],[Old Price]],"Check prices","OK")</f>
        <v>OK</v>
      </c>
      <c r="N37" t="str">
        <f>IF(tblProducts[[#This Row],[Review]]="","Missing",IF(tblProducts[[#This Row],[Review]]&gt;=Review_P75,"Strong Engagement","Normal"))</f>
        <v>Normal</v>
      </c>
    </row>
    <row r="38" spans="1:14" x14ac:dyDescent="0.25">
      <c r="A38" t="s">
        <v>121</v>
      </c>
      <c r="B38" s="8">
        <v>171</v>
      </c>
      <c r="C38" s="8">
        <v>360</v>
      </c>
      <c r="D38" s="6">
        <v>0.53</v>
      </c>
      <c r="E38" s="14">
        <v>2</v>
      </c>
      <c r="F38" s="17">
        <v>5</v>
      </c>
      <c r="G38" s="3" t="str">
        <f>IF(OR(tblProducts[[#This Row],[Rating]]&lt;0,tblProducts[[#This Row],[Rating]]&gt;5),"Check rating","OK")</f>
        <v>OK</v>
      </c>
      <c r="H38" s="7">
        <f t="shared" si="3"/>
        <v>189</v>
      </c>
      <c r="I38" s="3" t="str">
        <f t="shared" si="4"/>
        <v>Excellent</v>
      </c>
      <c r="J38" s="3" t="str">
        <f>IF(OR(tblProducts[[#This Row],[Discount]]&lt;0,tblProducts[[#This Row],[Discount]]&gt;1),"Check discount","OK")</f>
        <v>OK</v>
      </c>
      <c r="K38" t="str">
        <f t="shared" si="5"/>
        <v>High Discount</v>
      </c>
      <c r="L38" t="str">
        <f>IF(tblProducts[[#This Row],[Current Price]]="","Missing",IF(tblProducts[[#This Row],[Current Price]]&lt;=Price_Q1,"Low Price",IF(tblProducts[[#This Row],[Current Price]]&lt;=Price_Q3,"Medium Price","High Price")))</f>
        <v>Low Price</v>
      </c>
      <c r="M38" t="str">
        <f>IF(tblProducts[[#This Row],[Current Price]]&gt;tblProducts[[#This Row],[Old Price]],"Check prices","OK")</f>
        <v>OK</v>
      </c>
      <c r="N38" t="str">
        <f>IF(tblProducts[[#This Row],[Review]]="","Missing",IF(tblProducts[[#This Row],[Review]]&gt;=Review_P75,"Strong Engagement","Normal"))</f>
        <v>Normal</v>
      </c>
    </row>
    <row r="39" spans="1:14" x14ac:dyDescent="0.25">
      <c r="A39" t="s">
        <v>123</v>
      </c>
      <c r="B39" s="8">
        <v>389</v>
      </c>
      <c r="C39" s="8">
        <v>656</v>
      </c>
      <c r="D39" s="6">
        <v>0.41</v>
      </c>
      <c r="E39" s="14">
        <v>36</v>
      </c>
      <c r="F39" s="17">
        <v>4.3</v>
      </c>
      <c r="G39" s="3" t="str">
        <f>IF(OR(tblProducts[[#This Row],[Rating]]&lt;0,tblProducts[[#This Row],[Rating]]&gt;5),"Check rating","OK")</f>
        <v>OK</v>
      </c>
      <c r="H39" s="7">
        <f t="shared" si="3"/>
        <v>267</v>
      </c>
      <c r="I39" s="3" t="str">
        <f t="shared" si="4"/>
        <v>Unclassified</v>
      </c>
      <c r="J39" s="3" t="str">
        <f>IF(OR(tblProducts[[#This Row],[Discount]]&lt;0,tblProducts[[#This Row],[Discount]]&gt;1),"Check discount","OK")</f>
        <v>OK</v>
      </c>
      <c r="K39" t="str">
        <f t="shared" si="5"/>
        <v>High Discount</v>
      </c>
      <c r="L39" t="str">
        <f>IF(tblProducts[[#This Row],[Current Price]]="","Missing",IF(tblProducts[[#This Row],[Current Price]]&lt;=Price_Q1,"Low Price",IF(tblProducts[[#This Row],[Current Price]]&lt;=Price_Q3,"Medium Price","High Price")))</f>
        <v>Low Price</v>
      </c>
      <c r="M39" t="str">
        <f>IF(tblProducts[[#This Row],[Current Price]]&gt;tblProducts[[#This Row],[Old Price]],"Check prices","OK")</f>
        <v>OK</v>
      </c>
      <c r="N39" t="str">
        <f>IF(tblProducts[[#This Row],[Review]]="","Missing",IF(tblProducts[[#This Row],[Review]]&gt;=Review_P75,"Strong Engagement","Normal"))</f>
        <v>Strong Engagement</v>
      </c>
    </row>
    <row r="40" spans="1:14" x14ac:dyDescent="0.25">
      <c r="A40" t="s">
        <v>126</v>
      </c>
      <c r="B40" s="8">
        <v>1800</v>
      </c>
      <c r="C40" s="8">
        <v>2700</v>
      </c>
      <c r="D40" s="6">
        <v>0.38</v>
      </c>
      <c r="E40" s="14">
        <v>2</v>
      </c>
      <c r="F40" s="17">
        <v>4.5</v>
      </c>
      <c r="G40" s="3" t="str">
        <f>IF(OR(tblProducts[[#This Row],[Rating]]&lt;0,tblProducts[[#This Row],[Rating]]&gt;5),"Check rating","OK")</f>
        <v>OK</v>
      </c>
      <c r="H40" s="7">
        <f t="shared" si="3"/>
        <v>900</v>
      </c>
      <c r="I40" s="3" t="str">
        <f t="shared" si="4"/>
        <v>Excellent</v>
      </c>
      <c r="J40" s="3" t="str">
        <f>IF(OR(tblProducts[[#This Row],[Discount]]&lt;0,tblProducts[[#This Row],[Discount]]&gt;1),"Check discount","OK")</f>
        <v>OK</v>
      </c>
      <c r="K40" t="str">
        <f t="shared" si="5"/>
        <v>Medium Discount</v>
      </c>
      <c r="L40" t="str">
        <f>IF(tblProducts[[#This Row],[Current Price]]="","Missing",IF(tblProducts[[#This Row],[Current Price]]&lt;=Price_Q1,"Low Price",IF(tblProducts[[#This Row],[Current Price]]&lt;=Price_Q3,"Medium Price","High Price")))</f>
        <v>High Price</v>
      </c>
      <c r="M40" t="str">
        <f>IF(tblProducts[[#This Row],[Current Price]]&gt;tblProducts[[#This Row],[Old Price]],"Check prices","OK")</f>
        <v>OK</v>
      </c>
      <c r="N40" t="str">
        <f>IF(tblProducts[[#This Row],[Review]]="","Missing",IF(tblProducts[[#This Row],[Review]]&gt;=Review_P75,"Strong Engagement","Normal"))</f>
        <v>Normal</v>
      </c>
    </row>
    <row r="41" spans="1:14" x14ac:dyDescent="0.25">
      <c r="A41" t="s">
        <v>129</v>
      </c>
      <c r="B41" s="8">
        <v>2750</v>
      </c>
      <c r="C41" s="8">
        <v>4471</v>
      </c>
      <c r="D41" s="6">
        <v>0.38</v>
      </c>
      <c r="G41" s="3" t="str">
        <f>IF(OR(tblProducts[[#This Row],[Rating]]&lt;0,tblProducts[[#This Row],[Rating]]&gt;5),"Check rating","OK")</f>
        <v>OK</v>
      </c>
      <c r="H41" s="7">
        <f t="shared" si="3"/>
        <v>1721</v>
      </c>
      <c r="I41" s="3" t="str">
        <f t="shared" si="4"/>
        <v>Rating not provided</v>
      </c>
      <c r="J41" s="3" t="str">
        <f>IF(OR(tblProducts[[#This Row],[Discount]]&lt;0,tblProducts[[#This Row],[Discount]]&gt;1),"Check discount","OK")</f>
        <v>OK</v>
      </c>
      <c r="K41" t="str">
        <f t="shared" si="5"/>
        <v>Medium Discount</v>
      </c>
      <c r="L41" t="str">
        <f>IF(tblProducts[[#This Row],[Current Price]]="","Missing",IF(tblProducts[[#This Row],[Current Price]]&lt;=Price_Q1,"Low Price",IF(tblProducts[[#This Row],[Current Price]]&lt;=Price_Q3,"Medium Price","High Price")))</f>
        <v>High Price</v>
      </c>
      <c r="M41" t="str">
        <f>IF(tblProducts[[#This Row],[Current Price]]&gt;tblProducts[[#This Row],[Old Price]],"Check prices","OK")</f>
        <v>OK</v>
      </c>
      <c r="N41" t="str">
        <f>IF(tblProducts[[#This Row],[Review]]="","Missing",IF(tblProducts[[#This Row],[Review]]&gt;=Review_P75,"Strong Engagement","Normal"))</f>
        <v>Missing</v>
      </c>
    </row>
    <row r="42" spans="1:14" x14ac:dyDescent="0.25">
      <c r="A42" t="s">
        <v>132</v>
      </c>
      <c r="B42" s="8">
        <v>475</v>
      </c>
      <c r="C42" s="8">
        <v>931</v>
      </c>
      <c r="D42" s="6">
        <v>0.49</v>
      </c>
      <c r="G42" s="3" t="str">
        <f>IF(OR(tblProducts[[#This Row],[Rating]]&lt;0,tblProducts[[#This Row],[Rating]]&gt;5),"Check rating","OK")</f>
        <v>OK</v>
      </c>
      <c r="H42" s="7">
        <f t="shared" si="3"/>
        <v>456</v>
      </c>
      <c r="I42" s="3" t="str">
        <f t="shared" si="4"/>
        <v>Rating not provided</v>
      </c>
      <c r="J42" s="3" t="str">
        <f>IF(OR(tblProducts[[#This Row],[Discount]]&lt;0,tblProducts[[#This Row],[Discount]]&gt;1),"Check discount","OK")</f>
        <v>OK</v>
      </c>
      <c r="K42" t="str">
        <f t="shared" si="5"/>
        <v>High Discount</v>
      </c>
      <c r="L42" t="str">
        <f>IF(tblProducts[[#This Row],[Current Price]]="","Missing",IF(tblProducts[[#This Row],[Current Price]]&lt;=Price_Q1,"Low Price",IF(tblProducts[[#This Row],[Current Price]]&lt;=Price_Q3,"Medium Price","High Price")))</f>
        <v>Low Price</v>
      </c>
      <c r="M42" t="str">
        <f>IF(tblProducts[[#This Row],[Current Price]]&gt;tblProducts[[#This Row],[Old Price]],"Check prices","OK")</f>
        <v>OK</v>
      </c>
      <c r="N42" t="str">
        <f>IF(tblProducts[[#This Row],[Review]]="","Missing",IF(tblProducts[[#This Row],[Review]]&gt;=Review_P75,"Strong Engagement","Normal"))</f>
        <v>Missing</v>
      </c>
    </row>
    <row r="43" spans="1:14" x14ac:dyDescent="0.25">
      <c r="A43" t="s">
        <v>135</v>
      </c>
      <c r="B43" s="8">
        <v>238</v>
      </c>
      <c r="C43" s="8">
        <v>476</v>
      </c>
      <c r="D43" s="6">
        <v>0.5</v>
      </c>
      <c r="G43" s="3" t="str">
        <f>IF(OR(tblProducts[[#This Row],[Rating]]&lt;0,tblProducts[[#This Row],[Rating]]&gt;5),"Check rating","OK")</f>
        <v>OK</v>
      </c>
      <c r="H43" s="7">
        <f t="shared" si="3"/>
        <v>238</v>
      </c>
      <c r="I43" s="3" t="str">
        <f t="shared" si="4"/>
        <v>Rating not provided</v>
      </c>
      <c r="J43" s="3" t="str">
        <f>IF(OR(tblProducts[[#This Row],[Discount]]&lt;0,tblProducts[[#This Row],[Discount]]&gt;1),"Check discount","OK")</f>
        <v>OK</v>
      </c>
      <c r="K43" t="str">
        <f t="shared" si="5"/>
        <v>High Discount</v>
      </c>
      <c r="L43" t="str">
        <f>IF(tblProducts[[#This Row],[Current Price]]="","Missing",IF(tblProducts[[#This Row],[Current Price]]&lt;=Price_Q1,"Low Price",IF(tblProducts[[#This Row],[Current Price]]&lt;=Price_Q3,"Medium Price","High Price")))</f>
        <v>Low Price</v>
      </c>
      <c r="M43" t="str">
        <f>IF(tblProducts[[#This Row],[Current Price]]&gt;tblProducts[[#This Row],[Old Price]],"Check prices","OK")</f>
        <v>OK</v>
      </c>
      <c r="N43" t="str">
        <f>IF(tblProducts[[#This Row],[Review]]="","Missing",IF(tblProducts[[#This Row],[Review]]&gt;=Review_P75,"Strong Engagement","Normal"))</f>
        <v>Missing</v>
      </c>
    </row>
    <row r="44" spans="1:14" x14ac:dyDescent="0.25">
      <c r="A44" t="s">
        <v>138</v>
      </c>
      <c r="B44" s="8">
        <v>610</v>
      </c>
      <c r="C44" s="8">
        <v>1060</v>
      </c>
      <c r="D44" s="6">
        <v>0.42</v>
      </c>
      <c r="G44" s="3" t="str">
        <f>IF(OR(tblProducts[[#This Row],[Rating]]&lt;0,tblProducts[[#This Row],[Rating]]&gt;5),"Check rating","OK")</f>
        <v>OK</v>
      </c>
      <c r="H44" s="7">
        <f t="shared" si="3"/>
        <v>450</v>
      </c>
      <c r="I44" s="3" t="str">
        <f t="shared" si="4"/>
        <v>Rating not provided</v>
      </c>
      <c r="J44" s="3" t="str">
        <f>IF(OR(tblProducts[[#This Row],[Discount]]&lt;0,tblProducts[[#This Row],[Discount]]&gt;1),"Check discount","OK")</f>
        <v>OK</v>
      </c>
      <c r="K44" t="str">
        <f t="shared" si="5"/>
        <v>High Discount</v>
      </c>
      <c r="L44" t="str">
        <f>IF(tblProducts[[#This Row],[Current Price]]="","Missing",IF(tblProducts[[#This Row],[Current Price]]&lt;=Price_Q1,"Low Price",IF(tblProducts[[#This Row],[Current Price]]&lt;=Price_Q3,"Medium Price","High Price")))</f>
        <v>Medium Price</v>
      </c>
      <c r="M44" t="str">
        <f>IF(tblProducts[[#This Row],[Current Price]]&gt;tblProducts[[#This Row],[Old Price]],"Check prices","OK")</f>
        <v>OK</v>
      </c>
      <c r="N44" t="str">
        <f>IF(tblProducts[[#This Row],[Review]]="","Missing",IF(tblProducts[[#This Row],[Review]]&gt;=Review_P75,"Strong Engagement","Normal"))</f>
        <v>Missing</v>
      </c>
    </row>
    <row r="45" spans="1:14" x14ac:dyDescent="0.25">
      <c r="A45" t="s">
        <v>141</v>
      </c>
      <c r="B45" s="8">
        <v>2132</v>
      </c>
      <c r="C45" s="8">
        <v>2169</v>
      </c>
      <c r="D45" s="6">
        <v>0.02</v>
      </c>
      <c r="G45" s="3" t="str">
        <f>IF(OR(tblProducts[[#This Row],[Rating]]&lt;0,tblProducts[[#This Row],[Rating]]&gt;5),"Check rating","OK")</f>
        <v>OK</v>
      </c>
      <c r="H45" s="7">
        <f t="shared" si="3"/>
        <v>37</v>
      </c>
      <c r="I45" s="3" t="str">
        <f t="shared" si="4"/>
        <v>Rating not provided</v>
      </c>
      <c r="J45" s="3" t="str">
        <f>IF(OR(tblProducts[[#This Row],[Discount]]&lt;0,tblProducts[[#This Row],[Discount]]&gt;1),"Check discount","OK")</f>
        <v>OK</v>
      </c>
      <c r="K45" t="str">
        <f t="shared" si="5"/>
        <v>Low Discount</v>
      </c>
      <c r="L45" t="str">
        <f>IF(tblProducts[[#This Row],[Current Price]]="","Missing",IF(tblProducts[[#This Row],[Current Price]]&lt;=Price_Q1,"Low Price",IF(tblProducts[[#This Row],[Current Price]]&lt;=Price_Q3,"Medium Price","High Price")))</f>
        <v>High Price</v>
      </c>
      <c r="M45" t="str">
        <f>IF(tblProducts[[#This Row],[Current Price]]&gt;tblProducts[[#This Row],[Old Price]],"Check prices","OK")</f>
        <v>OK</v>
      </c>
      <c r="N45" t="str">
        <f>IF(tblProducts[[#This Row],[Review]]="","Missing",IF(tblProducts[[#This Row],[Review]]&gt;=Review_P75,"Strong Engagement","Normal"))</f>
        <v>Missing</v>
      </c>
    </row>
    <row r="46" spans="1:14" x14ac:dyDescent="0.25">
      <c r="A46" t="s">
        <v>144</v>
      </c>
      <c r="B46" s="8">
        <v>999</v>
      </c>
      <c r="C46" s="8">
        <v>2000</v>
      </c>
      <c r="D46" s="6">
        <v>0.5</v>
      </c>
      <c r="G46" s="3" t="str">
        <f>IF(OR(tblProducts[[#This Row],[Rating]]&lt;0,tblProducts[[#This Row],[Rating]]&gt;5),"Check rating","OK")</f>
        <v>OK</v>
      </c>
      <c r="H46" s="7">
        <f t="shared" si="3"/>
        <v>1001</v>
      </c>
      <c r="I46" s="3" t="str">
        <f t="shared" si="4"/>
        <v>Rating not provided</v>
      </c>
      <c r="J46" s="3" t="str">
        <f>IF(OR(tblProducts[[#This Row],[Discount]]&lt;0,tblProducts[[#This Row],[Discount]]&gt;1),"Check discount","OK")</f>
        <v>OK</v>
      </c>
      <c r="K46" t="str">
        <f t="shared" si="5"/>
        <v>High Discount</v>
      </c>
      <c r="L46" t="str">
        <f>IF(tblProducts[[#This Row],[Current Price]]="","Missing",IF(tblProducts[[#This Row],[Current Price]]&lt;=Price_Q1,"Low Price",IF(tblProducts[[#This Row],[Current Price]]&lt;=Price_Q3,"Medium Price","High Price")))</f>
        <v>Medium Price</v>
      </c>
      <c r="M46" t="str">
        <f>IF(tblProducts[[#This Row],[Current Price]]&gt;tblProducts[[#This Row],[Old Price]],"Check prices","OK")</f>
        <v>OK</v>
      </c>
      <c r="N46" t="str">
        <f>IF(tblProducts[[#This Row],[Review]]="","Missing",IF(tblProducts[[#This Row],[Review]]&gt;=Review_P75,"Strong Engagement","Normal"))</f>
        <v>Missing</v>
      </c>
    </row>
    <row r="47" spans="1:14" x14ac:dyDescent="0.25">
      <c r="A47" t="s">
        <v>146</v>
      </c>
      <c r="B47" s="8">
        <v>1190</v>
      </c>
      <c r="C47" s="8">
        <v>1785</v>
      </c>
      <c r="D47" s="6">
        <v>0.33</v>
      </c>
      <c r="G47" s="3" t="str">
        <f>IF(OR(tblProducts[[#This Row],[Rating]]&lt;0,tblProducts[[#This Row],[Rating]]&gt;5),"Check rating","OK")</f>
        <v>OK</v>
      </c>
      <c r="H47" s="7">
        <f t="shared" si="3"/>
        <v>595</v>
      </c>
      <c r="I47" s="3" t="str">
        <f t="shared" si="4"/>
        <v>Rating not provided</v>
      </c>
      <c r="J47" s="3" t="str">
        <f>IF(OR(tblProducts[[#This Row],[Discount]]&lt;0,tblProducts[[#This Row],[Discount]]&gt;1),"Check discount","OK")</f>
        <v>OK</v>
      </c>
      <c r="K47" t="str">
        <f t="shared" si="5"/>
        <v>Medium Discount</v>
      </c>
      <c r="L47" t="str">
        <f>IF(tblProducts[[#This Row],[Current Price]]="","Missing",IF(tblProducts[[#This Row],[Current Price]]&lt;=Price_Q1,"Low Price",IF(tblProducts[[#This Row],[Current Price]]&lt;=Price_Q3,"Medium Price","High Price")))</f>
        <v>Medium Price</v>
      </c>
      <c r="M47" t="str">
        <f>IF(tblProducts[[#This Row],[Current Price]]&gt;tblProducts[[#This Row],[Old Price]],"Check prices","OK")</f>
        <v>OK</v>
      </c>
      <c r="N47" t="str">
        <f>IF(tblProducts[[#This Row],[Review]]="","Missing",IF(tblProducts[[#This Row],[Review]]&gt;=Review_P75,"Strong Engagement","Normal"))</f>
        <v>Missing</v>
      </c>
    </row>
    <row r="48" spans="1:14" x14ac:dyDescent="0.25">
      <c r="A48" t="s">
        <v>149</v>
      </c>
      <c r="B48" s="8">
        <v>671</v>
      </c>
      <c r="C48" s="8">
        <v>1316</v>
      </c>
      <c r="D48" s="6">
        <v>0.49</v>
      </c>
      <c r="G48" s="3" t="str">
        <f>IF(OR(tblProducts[[#This Row],[Rating]]&lt;0,tblProducts[[#This Row],[Rating]]&gt;5),"Check rating","OK")</f>
        <v>OK</v>
      </c>
      <c r="H48" s="7">
        <f t="shared" si="3"/>
        <v>645</v>
      </c>
      <c r="I48" s="3" t="str">
        <f t="shared" si="4"/>
        <v>Rating not provided</v>
      </c>
      <c r="J48" s="3" t="str">
        <f>IF(OR(tblProducts[[#This Row],[Discount]]&lt;0,tblProducts[[#This Row],[Discount]]&gt;1),"Check discount","OK")</f>
        <v>OK</v>
      </c>
      <c r="K48" t="str">
        <f t="shared" si="5"/>
        <v>High Discount</v>
      </c>
      <c r="L48" t="str">
        <f>IF(tblProducts[[#This Row],[Current Price]]="","Missing",IF(tblProducts[[#This Row],[Current Price]]&lt;=Price_Q1,"Low Price",IF(tblProducts[[#This Row],[Current Price]]&lt;=Price_Q3,"Medium Price","High Price")))</f>
        <v>Medium Price</v>
      </c>
      <c r="M48" t="str">
        <f>IF(tblProducts[[#This Row],[Current Price]]&gt;tblProducts[[#This Row],[Old Price]],"Check prices","OK")</f>
        <v>OK</v>
      </c>
      <c r="N48" t="str">
        <f>IF(tblProducts[[#This Row],[Review]]="","Missing",IF(tblProducts[[#This Row],[Review]]&gt;=Review_P75,"Strong Engagement","Normal"))</f>
        <v>Missing</v>
      </c>
    </row>
    <row r="49" spans="1:14" x14ac:dyDescent="0.25">
      <c r="A49" t="s">
        <v>152</v>
      </c>
      <c r="B49" s="8">
        <v>1200</v>
      </c>
      <c r="C49" s="8">
        <v>1950</v>
      </c>
      <c r="D49" s="6">
        <v>0.38</v>
      </c>
      <c r="G49" s="3" t="str">
        <f>IF(OR(tblProducts[[#This Row],[Rating]]&lt;0,tblProducts[[#This Row],[Rating]]&gt;5),"Check rating","OK")</f>
        <v>OK</v>
      </c>
      <c r="H49" s="7">
        <f t="shared" si="3"/>
        <v>750</v>
      </c>
      <c r="I49" s="3" t="str">
        <f t="shared" si="4"/>
        <v>Rating not provided</v>
      </c>
      <c r="J49" s="3" t="str">
        <f>IF(OR(tblProducts[[#This Row],[Discount]]&lt;0,tblProducts[[#This Row],[Discount]]&gt;1),"Check discount","OK")</f>
        <v>OK</v>
      </c>
      <c r="K49" t="str">
        <f t="shared" si="5"/>
        <v>Medium Discount</v>
      </c>
      <c r="L49" t="str">
        <f>IF(tblProducts[[#This Row],[Current Price]]="","Missing",IF(tblProducts[[#This Row],[Current Price]]&lt;=Price_Q1,"Low Price",IF(tblProducts[[#This Row],[Current Price]]&lt;=Price_Q3,"Medium Price","High Price")))</f>
        <v>Medium Price</v>
      </c>
      <c r="M49" t="str">
        <f>IF(tblProducts[[#This Row],[Current Price]]&gt;tblProducts[[#This Row],[Old Price]],"Check prices","OK")</f>
        <v>OK</v>
      </c>
      <c r="N49" t="str">
        <f>IF(tblProducts[[#This Row],[Review]]="","Missing",IF(tblProducts[[#This Row],[Review]]&gt;=Review_P75,"Strong Engagement","Normal"))</f>
        <v>Missing</v>
      </c>
    </row>
    <row r="50" spans="1:14" x14ac:dyDescent="0.25">
      <c r="A50" t="s">
        <v>155</v>
      </c>
      <c r="B50" s="8">
        <v>199</v>
      </c>
      <c r="C50" s="8">
        <v>504</v>
      </c>
      <c r="D50" s="6">
        <v>0.61</v>
      </c>
      <c r="G50" s="3" t="str">
        <f>IF(OR(tblProducts[[#This Row],[Rating]]&lt;0,tblProducts[[#This Row],[Rating]]&gt;5),"Check rating","OK")</f>
        <v>OK</v>
      </c>
      <c r="H50" s="7">
        <f t="shared" si="3"/>
        <v>305</v>
      </c>
      <c r="I50" s="3" t="str">
        <f t="shared" si="4"/>
        <v>Rating not provided</v>
      </c>
      <c r="J50" s="3" t="str">
        <f>IF(OR(tblProducts[[#This Row],[Discount]]&lt;0,tblProducts[[#This Row],[Discount]]&gt;1),"Check discount","OK")</f>
        <v>OK</v>
      </c>
      <c r="K50" t="str">
        <f t="shared" si="5"/>
        <v>High Discount</v>
      </c>
      <c r="L50" t="str">
        <f>IF(tblProducts[[#This Row],[Current Price]]="","Missing",IF(tblProducts[[#This Row],[Current Price]]&lt;=Price_Q1,"Low Price",IF(tblProducts[[#This Row],[Current Price]]&lt;=Price_Q3,"Medium Price","High Price")))</f>
        <v>Low Price</v>
      </c>
      <c r="M50" t="str">
        <f>IF(tblProducts[[#This Row],[Current Price]]&gt;tblProducts[[#This Row],[Old Price]],"Check prices","OK")</f>
        <v>OK</v>
      </c>
      <c r="N50" t="str">
        <f>IF(tblProducts[[#This Row],[Review]]="","Missing",IF(tblProducts[[#This Row],[Review]]&gt;=Review_P75,"Strong Engagement","Normal"))</f>
        <v>Missing</v>
      </c>
    </row>
    <row r="51" spans="1:14" x14ac:dyDescent="0.25">
      <c r="A51" t="s">
        <v>158</v>
      </c>
      <c r="B51" s="8">
        <v>299</v>
      </c>
      <c r="C51" s="8">
        <v>600</v>
      </c>
      <c r="D51" s="6">
        <v>0.5</v>
      </c>
      <c r="G51" s="3" t="str">
        <f>IF(OR(tblProducts[[#This Row],[Rating]]&lt;0,tblProducts[[#This Row],[Rating]]&gt;5),"Check rating","OK")</f>
        <v>OK</v>
      </c>
      <c r="H51" s="7">
        <f t="shared" si="3"/>
        <v>301</v>
      </c>
      <c r="I51" s="3" t="str">
        <f t="shared" si="4"/>
        <v>Rating not provided</v>
      </c>
      <c r="J51" s="3" t="str">
        <f>IF(OR(tblProducts[[#This Row],[Discount]]&lt;0,tblProducts[[#This Row],[Discount]]&gt;1),"Check discount","OK")</f>
        <v>OK</v>
      </c>
      <c r="K51" t="str">
        <f t="shared" si="5"/>
        <v>High Discount</v>
      </c>
      <c r="L51" t="str">
        <f>IF(tblProducts[[#This Row],[Current Price]]="","Missing",IF(tblProducts[[#This Row],[Current Price]]&lt;=Price_Q1,"Low Price",IF(tblProducts[[#This Row],[Current Price]]&lt;=Price_Q3,"Medium Price","High Price")))</f>
        <v>Low Price</v>
      </c>
      <c r="M51" t="str">
        <f>IF(tblProducts[[#This Row],[Current Price]]&gt;tblProducts[[#This Row],[Old Price]],"Check prices","OK")</f>
        <v>OK</v>
      </c>
      <c r="N51" t="str">
        <f>IF(tblProducts[[#This Row],[Review]]="","Missing",IF(tblProducts[[#This Row],[Review]]&gt;=Review_P75,"Strong Engagement","Normal"))</f>
        <v>Missing</v>
      </c>
    </row>
    <row r="52" spans="1:14" x14ac:dyDescent="0.25">
      <c r="A52" t="s">
        <v>161</v>
      </c>
      <c r="B52" s="8">
        <v>1660</v>
      </c>
      <c r="C52" s="8">
        <v>1699</v>
      </c>
      <c r="D52" s="6">
        <v>0.02</v>
      </c>
      <c r="G52" s="3" t="str">
        <f>IF(OR(tblProducts[[#This Row],[Rating]]&lt;0,tblProducts[[#This Row],[Rating]]&gt;5),"Check rating","OK")</f>
        <v>OK</v>
      </c>
      <c r="H52" s="7">
        <f t="shared" si="3"/>
        <v>39</v>
      </c>
      <c r="I52" s="3" t="str">
        <f t="shared" si="4"/>
        <v>Rating not provided</v>
      </c>
      <c r="J52" s="3" t="str">
        <f>IF(OR(tblProducts[[#This Row],[Discount]]&lt;0,tblProducts[[#This Row],[Discount]]&gt;1),"Check discount","OK")</f>
        <v>OK</v>
      </c>
      <c r="K52" t="str">
        <f t="shared" si="5"/>
        <v>Low Discount</v>
      </c>
      <c r="L52" t="str">
        <f>IF(tblProducts[[#This Row],[Current Price]]="","Missing",IF(tblProducts[[#This Row],[Current Price]]&lt;=Price_Q1,"Low Price",IF(tblProducts[[#This Row],[Current Price]]&lt;=Price_Q3,"Medium Price","High Price")))</f>
        <v>Medium Price</v>
      </c>
      <c r="M52" t="str">
        <f>IF(tblProducts[[#This Row],[Current Price]]&gt;tblProducts[[#This Row],[Old Price]],"Check prices","OK")</f>
        <v>OK</v>
      </c>
      <c r="N52" t="str">
        <f>IF(tblProducts[[#This Row],[Review]]="","Missing",IF(tblProducts[[#This Row],[Review]]&gt;=Review_P75,"Strong Engagement","Normal"))</f>
        <v>Missing</v>
      </c>
    </row>
    <row r="53" spans="1:14" x14ac:dyDescent="0.25">
      <c r="A53" t="s">
        <v>164</v>
      </c>
      <c r="B53" s="8">
        <v>299</v>
      </c>
      <c r="C53" s="8">
        <v>384</v>
      </c>
      <c r="D53" s="6">
        <v>0.22</v>
      </c>
      <c r="G53" s="3" t="str">
        <f>IF(OR(tblProducts[[#This Row],[Rating]]&lt;0,tblProducts[[#This Row],[Rating]]&gt;5),"Check rating","OK")</f>
        <v>OK</v>
      </c>
      <c r="H53" s="7">
        <f t="shared" si="3"/>
        <v>85</v>
      </c>
      <c r="I53" s="3" t="str">
        <f t="shared" si="4"/>
        <v>Rating not provided</v>
      </c>
      <c r="J53" s="3" t="str">
        <f>IF(OR(tblProducts[[#This Row],[Discount]]&lt;0,tblProducts[[#This Row],[Discount]]&gt;1),"Check discount","OK")</f>
        <v>OK</v>
      </c>
      <c r="K53" t="str">
        <f t="shared" si="5"/>
        <v>Medium Discount</v>
      </c>
      <c r="L53" t="str">
        <f>IF(tblProducts[[#This Row],[Current Price]]="","Missing",IF(tblProducts[[#This Row],[Current Price]]&lt;=Price_Q1,"Low Price",IF(tblProducts[[#This Row],[Current Price]]&lt;=Price_Q3,"Medium Price","High Price")))</f>
        <v>Low Price</v>
      </c>
      <c r="M53" t="str">
        <f>IF(tblProducts[[#This Row],[Current Price]]&gt;tblProducts[[#This Row],[Old Price]],"Check prices","OK")</f>
        <v>OK</v>
      </c>
      <c r="N53" t="str">
        <f>IF(tblProducts[[#This Row],[Review]]="","Missing",IF(tblProducts[[#This Row],[Review]]&gt;=Review_P75,"Strong Engagement","Normal"))</f>
        <v>Missing</v>
      </c>
    </row>
    <row r="54" spans="1:14" x14ac:dyDescent="0.25">
      <c r="A54" t="s">
        <v>166</v>
      </c>
      <c r="B54" s="8">
        <v>1459</v>
      </c>
      <c r="C54" s="8">
        <v>1499</v>
      </c>
      <c r="D54" s="6">
        <v>0.03</v>
      </c>
      <c r="G54" s="3" t="str">
        <f>IF(OR(tblProducts[[#This Row],[Rating]]&lt;0,tblProducts[[#This Row],[Rating]]&gt;5),"Check rating","OK")</f>
        <v>OK</v>
      </c>
      <c r="H54" s="7">
        <f t="shared" si="3"/>
        <v>40</v>
      </c>
      <c r="I54" s="3" t="str">
        <f t="shared" si="4"/>
        <v>Rating not provided</v>
      </c>
      <c r="J54" s="3" t="str">
        <f>IF(OR(tblProducts[[#This Row],[Discount]]&lt;0,tblProducts[[#This Row],[Discount]]&gt;1),"Check discount","OK")</f>
        <v>OK</v>
      </c>
      <c r="K54" t="str">
        <f t="shared" si="5"/>
        <v>Low Discount</v>
      </c>
      <c r="L54" t="str">
        <f>IF(tblProducts[[#This Row],[Current Price]]="","Missing",IF(tblProducts[[#This Row],[Current Price]]&lt;=Price_Q1,"Low Price",IF(tblProducts[[#This Row],[Current Price]]&lt;=Price_Q3,"Medium Price","High Price")))</f>
        <v>Medium Price</v>
      </c>
      <c r="M54" t="str">
        <f>IF(tblProducts[[#This Row],[Current Price]]&gt;tblProducts[[#This Row],[Old Price]],"Check prices","OK")</f>
        <v>OK</v>
      </c>
      <c r="N54" t="str">
        <f>IF(tblProducts[[#This Row],[Review]]="","Missing",IF(tblProducts[[#This Row],[Review]]&gt;=Review_P75,"Strong Engagement","Normal"))</f>
        <v>Missing</v>
      </c>
    </row>
    <row r="55" spans="1:14" x14ac:dyDescent="0.25">
      <c r="A55" t="s">
        <v>169</v>
      </c>
      <c r="B55" s="8">
        <v>799</v>
      </c>
      <c r="C55" s="8">
        <v>1343</v>
      </c>
      <c r="D55" s="6">
        <v>0.41</v>
      </c>
      <c r="G55" s="3" t="str">
        <f>IF(OR(tblProducts[[#This Row],[Rating]]&lt;0,tblProducts[[#This Row],[Rating]]&gt;5),"Check rating","OK")</f>
        <v>OK</v>
      </c>
      <c r="H55" s="7">
        <f t="shared" si="3"/>
        <v>544</v>
      </c>
      <c r="I55" s="3" t="str">
        <f t="shared" si="4"/>
        <v>Rating not provided</v>
      </c>
      <c r="J55" s="3" t="str">
        <f>IF(OR(tblProducts[[#This Row],[Discount]]&lt;0,tblProducts[[#This Row],[Discount]]&gt;1),"Check discount","OK")</f>
        <v>OK</v>
      </c>
      <c r="K55" t="str">
        <f t="shared" si="5"/>
        <v>High Discount</v>
      </c>
      <c r="L55" t="str">
        <f>IF(tblProducts[[#This Row],[Current Price]]="","Missing",IF(tblProducts[[#This Row],[Current Price]]&lt;=Price_Q1,"Low Price",IF(tblProducts[[#This Row],[Current Price]]&lt;=Price_Q3,"Medium Price","High Price")))</f>
        <v>Medium Price</v>
      </c>
      <c r="M55" t="str">
        <f>IF(tblProducts[[#This Row],[Current Price]]&gt;tblProducts[[#This Row],[Old Price]],"Check prices","OK")</f>
        <v>OK</v>
      </c>
      <c r="N55" t="str">
        <f>IF(tblProducts[[#This Row],[Review]]="","Missing",IF(tblProducts[[#This Row],[Review]]&gt;=Review_P75,"Strong Engagement","Normal"))</f>
        <v>Missing</v>
      </c>
    </row>
    <row r="56" spans="1:14" x14ac:dyDescent="0.25">
      <c r="A56" t="s">
        <v>171</v>
      </c>
      <c r="B56" s="8">
        <v>499</v>
      </c>
      <c r="C56" s="8">
        <v>900</v>
      </c>
      <c r="D56" s="6">
        <v>0.45</v>
      </c>
      <c r="G56" s="3" t="str">
        <f>IF(OR(tblProducts[[#This Row],[Rating]]&lt;0,tblProducts[[#This Row],[Rating]]&gt;5),"Check rating","OK")</f>
        <v>OK</v>
      </c>
      <c r="H56" s="7">
        <f t="shared" si="3"/>
        <v>401</v>
      </c>
      <c r="I56" s="3" t="str">
        <f t="shared" si="4"/>
        <v>Rating not provided</v>
      </c>
      <c r="J56" s="3" t="str">
        <f>IF(OR(tblProducts[[#This Row],[Discount]]&lt;0,tblProducts[[#This Row],[Discount]]&gt;1),"Check discount","OK")</f>
        <v>OK</v>
      </c>
      <c r="K56" t="str">
        <f t="shared" si="5"/>
        <v>High Discount</v>
      </c>
      <c r="L56" t="str">
        <f>IF(tblProducts[[#This Row],[Current Price]]="","Missing",IF(tblProducts[[#This Row],[Current Price]]&lt;=Price_Q1,"Low Price",IF(tblProducts[[#This Row],[Current Price]]&lt;=Price_Q3,"Medium Price","High Price")))</f>
        <v>Medium Price</v>
      </c>
      <c r="M56" t="str">
        <f>IF(tblProducts[[#This Row],[Current Price]]&gt;tblProducts[[#This Row],[Old Price]],"Check prices","OK")</f>
        <v>OK</v>
      </c>
      <c r="N56" t="str">
        <f>IF(tblProducts[[#This Row],[Review]]="","Missing",IF(tblProducts[[#This Row],[Review]]&gt;=Review_P75,"Strong Engagement","Normal"))</f>
        <v>Missing</v>
      </c>
    </row>
    <row r="57" spans="1:14" x14ac:dyDescent="0.25">
      <c r="A57" t="s">
        <v>174</v>
      </c>
      <c r="B57" s="8">
        <v>699</v>
      </c>
      <c r="C57" s="8">
        <v>1343</v>
      </c>
      <c r="D57" s="6">
        <v>0.48</v>
      </c>
      <c r="G57" s="3" t="str">
        <f>IF(OR(tblProducts[[#This Row],[Rating]]&lt;0,tblProducts[[#This Row],[Rating]]&gt;5),"Check rating","OK")</f>
        <v>OK</v>
      </c>
      <c r="H57" s="7">
        <f t="shared" si="3"/>
        <v>644</v>
      </c>
      <c r="I57" s="3" t="str">
        <f t="shared" si="4"/>
        <v>Rating not provided</v>
      </c>
      <c r="J57" s="3" t="str">
        <f>IF(OR(tblProducts[[#This Row],[Discount]]&lt;0,tblProducts[[#This Row],[Discount]]&gt;1),"Check discount","OK")</f>
        <v>OK</v>
      </c>
      <c r="K57" t="str">
        <f t="shared" si="5"/>
        <v>High Discount</v>
      </c>
      <c r="L57" t="str">
        <f>IF(tblProducts[[#This Row],[Current Price]]="","Missing",IF(tblProducts[[#This Row],[Current Price]]&lt;=Price_Q1,"Low Price",IF(tblProducts[[#This Row],[Current Price]]&lt;=Price_Q3,"Medium Price","High Price")))</f>
        <v>Medium Price</v>
      </c>
      <c r="M57" t="str">
        <f>IF(tblProducts[[#This Row],[Current Price]]&gt;tblProducts[[#This Row],[Old Price]],"Check prices","OK")</f>
        <v>OK</v>
      </c>
      <c r="N57" t="str">
        <f>IF(tblProducts[[#This Row],[Review]]="","Missing",IF(tblProducts[[#This Row],[Review]]&gt;=Review_P75,"Strong Engagement","Normal"))</f>
        <v>Missing</v>
      </c>
    </row>
    <row r="58" spans="1:14" x14ac:dyDescent="0.25">
      <c r="A58" t="s">
        <v>176</v>
      </c>
      <c r="B58" s="8">
        <v>799</v>
      </c>
      <c r="C58" s="8">
        <v>1567</v>
      </c>
      <c r="D58" s="6">
        <v>0.49</v>
      </c>
      <c r="G58" s="3" t="str">
        <f>IF(OR(tblProducts[[#This Row],[Rating]]&lt;0,tblProducts[[#This Row],[Rating]]&gt;5),"Check rating","OK")</f>
        <v>OK</v>
      </c>
      <c r="H58" s="7">
        <f t="shared" si="3"/>
        <v>768</v>
      </c>
      <c r="I58" s="3" t="str">
        <f t="shared" si="4"/>
        <v>Rating not provided</v>
      </c>
      <c r="J58" s="3" t="str">
        <f>IF(OR(tblProducts[[#This Row],[Discount]]&lt;0,tblProducts[[#This Row],[Discount]]&gt;1),"Check discount","OK")</f>
        <v>OK</v>
      </c>
      <c r="K58" t="str">
        <f t="shared" si="5"/>
        <v>High Discount</v>
      </c>
      <c r="L58" t="str">
        <f>IF(tblProducts[[#This Row],[Current Price]]="","Missing",IF(tblProducts[[#This Row],[Current Price]]&lt;=Price_Q1,"Low Price",IF(tblProducts[[#This Row],[Current Price]]&lt;=Price_Q3,"Medium Price","High Price")))</f>
        <v>Medium Price</v>
      </c>
      <c r="M58" t="str">
        <f>IF(tblProducts[[#This Row],[Current Price]]&gt;tblProducts[[#This Row],[Old Price]],"Check prices","OK")</f>
        <v>OK</v>
      </c>
      <c r="N58" t="str">
        <f>IF(tblProducts[[#This Row],[Review]]="","Missing",IF(tblProducts[[#This Row],[Review]]&gt;=Review_P75,"Strong Engagement","Normal"))</f>
        <v>Missing</v>
      </c>
    </row>
    <row r="59" spans="1:14" x14ac:dyDescent="0.25">
      <c r="A59" t="s">
        <v>178</v>
      </c>
      <c r="B59" s="8">
        <v>2799</v>
      </c>
      <c r="C59" s="8">
        <v>3810</v>
      </c>
      <c r="D59" s="6">
        <v>0.27</v>
      </c>
      <c r="G59" s="3" t="str">
        <f>IF(OR(tblProducts[[#This Row],[Rating]]&lt;0,tblProducts[[#This Row],[Rating]]&gt;5),"Check rating","OK")</f>
        <v>OK</v>
      </c>
      <c r="H59" s="7">
        <f t="shared" si="3"/>
        <v>1011</v>
      </c>
      <c r="I59" s="3" t="str">
        <f t="shared" si="4"/>
        <v>Rating not provided</v>
      </c>
      <c r="J59" s="3" t="str">
        <f>IF(OR(tblProducts[[#This Row],[Discount]]&lt;0,tblProducts[[#This Row],[Discount]]&gt;1),"Check discount","OK")</f>
        <v>OK</v>
      </c>
      <c r="K59" t="str">
        <f t="shared" si="5"/>
        <v>Medium Discount</v>
      </c>
      <c r="L59" t="str">
        <f>IF(tblProducts[[#This Row],[Current Price]]="","Missing",IF(tblProducts[[#This Row],[Current Price]]&lt;=Price_Q1,"Low Price",IF(tblProducts[[#This Row],[Current Price]]&lt;=Price_Q3,"Medium Price","High Price")))</f>
        <v>High Price</v>
      </c>
      <c r="M59" t="str">
        <f>IF(tblProducts[[#This Row],[Current Price]]&gt;tblProducts[[#This Row],[Old Price]],"Check prices","OK")</f>
        <v>OK</v>
      </c>
      <c r="N59" t="str">
        <f>IF(tblProducts[[#This Row],[Review]]="","Missing",IF(tblProducts[[#This Row],[Review]]&gt;=Review_P75,"Strong Engagement","Normal"))</f>
        <v>Missing</v>
      </c>
    </row>
    <row r="60" spans="1:14" x14ac:dyDescent="0.25">
      <c r="A60" t="s">
        <v>171</v>
      </c>
      <c r="B60" s="8">
        <v>399</v>
      </c>
      <c r="C60" s="8">
        <v>896</v>
      </c>
      <c r="D60" s="6">
        <v>0.55000000000000004</v>
      </c>
      <c r="G60" s="3" t="str">
        <f>IF(OR(tblProducts[[#This Row],[Rating]]&lt;0,tblProducts[[#This Row],[Rating]]&gt;5),"Check rating","OK")</f>
        <v>OK</v>
      </c>
      <c r="H60" s="7">
        <f t="shared" si="3"/>
        <v>497</v>
      </c>
      <c r="I60" s="3" t="str">
        <f t="shared" si="4"/>
        <v>Rating not provided</v>
      </c>
      <c r="J60" s="3" t="str">
        <f>IF(OR(tblProducts[[#This Row],[Discount]]&lt;0,tblProducts[[#This Row],[Discount]]&gt;1),"Check discount","OK")</f>
        <v>OK</v>
      </c>
      <c r="K60" t="str">
        <f t="shared" si="5"/>
        <v>High Discount</v>
      </c>
      <c r="L60" t="str">
        <f>IF(tblProducts[[#This Row],[Current Price]]="","Missing",IF(tblProducts[[#This Row],[Current Price]]&lt;=Price_Q1,"Low Price",IF(tblProducts[[#This Row],[Current Price]]&lt;=Price_Q3,"Medium Price","High Price")))</f>
        <v>Low Price</v>
      </c>
      <c r="M60" t="str">
        <f>IF(tblProducts[[#This Row],[Current Price]]&gt;tblProducts[[#This Row],[Old Price]],"Check prices","OK")</f>
        <v>OK</v>
      </c>
      <c r="N60" t="str">
        <f>IF(tblProducts[[#This Row],[Review]]="","Missing",IF(tblProducts[[#This Row],[Review]]&gt;=Review_P75,"Strong Engagement","Normal"))</f>
        <v>Missing</v>
      </c>
    </row>
    <row r="61" spans="1:14" x14ac:dyDescent="0.25">
      <c r="A61" t="s">
        <v>183</v>
      </c>
      <c r="B61" s="8">
        <v>2170</v>
      </c>
      <c r="C61" s="8">
        <v>2500</v>
      </c>
      <c r="D61" s="6">
        <v>0.13</v>
      </c>
      <c r="E61" s="14">
        <v>6</v>
      </c>
      <c r="F61" s="17">
        <v>2.5</v>
      </c>
      <c r="G61" s="3" t="str">
        <f>IF(OR(tblProducts[[#This Row],[Rating]]&lt;0,tblProducts[[#This Row],[Rating]]&gt;5),"Check rating","OK")</f>
        <v>OK</v>
      </c>
      <c r="H61" s="7">
        <f t="shared" si="3"/>
        <v>330</v>
      </c>
      <c r="I61" s="3" t="str">
        <f t="shared" si="4"/>
        <v>Poor</v>
      </c>
      <c r="J61" s="3" t="str">
        <f>IF(OR(tblProducts[[#This Row],[Discount]]&lt;0,tblProducts[[#This Row],[Discount]]&gt;1),"Check discount","OK")</f>
        <v>OK</v>
      </c>
      <c r="K61" t="str">
        <f t="shared" si="5"/>
        <v>Low Discount</v>
      </c>
      <c r="L61" t="str">
        <f>IF(tblProducts[[#This Row],[Current Price]]="","Missing",IF(tblProducts[[#This Row],[Current Price]]&lt;=Price_Q1,"Low Price",IF(tblProducts[[#This Row],[Current Price]]&lt;=Price_Q3,"Medium Price","High Price")))</f>
        <v>High Price</v>
      </c>
      <c r="M61" t="str">
        <f>IF(tblProducts[[#This Row],[Current Price]]&gt;tblProducts[[#This Row],[Old Price]],"Check prices","OK")</f>
        <v>OK</v>
      </c>
      <c r="N61" t="str">
        <f>IF(tblProducts[[#This Row],[Review]]="","Missing",IF(tblProducts[[#This Row],[Review]]&gt;=Review_P75,"Strong Engagement","Normal"))</f>
        <v>Normal</v>
      </c>
    </row>
    <row r="62" spans="1:14" x14ac:dyDescent="0.25">
      <c r="A62" t="s">
        <v>187</v>
      </c>
      <c r="B62" s="8">
        <v>458</v>
      </c>
      <c r="C62" s="8">
        <v>986</v>
      </c>
      <c r="D62" s="6">
        <v>0.54</v>
      </c>
      <c r="E62" s="14">
        <v>10</v>
      </c>
      <c r="F62" s="17">
        <v>3</v>
      </c>
      <c r="G62" s="3" t="str">
        <f>IF(OR(tblProducts[[#This Row],[Rating]]&lt;0,tblProducts[[#This Row],[Rating]]&gt;5),"Check rating","OK")</f>
        <v>OK</v>
      </c>
      <c r="H62" s="7">
        <f t="shared" si="3"/>
        <v>528</v>
      </c>
      <c r="I62" s="3" t="str">
        <f t="shared" si="4"/>
        <v>Average</v>
      </c>
      <c r="J62" s="3" t="str">
        <f>IF(OR(tblProducts[[#This Row],[Discount]]&lt;0,tblProducts[[#This Row],[Discount]]&gt;1),"Check discount","OK")</f>
        <v>OK</v>
      </c>
      <c r="K62" t="str">
        <f t="shared" si="5"/>
        <v>High Discount</v>
      </c>
      <c r="L62" t="str">
        <f>IF(tblProducts[[#This Row],[Current Price]]="","Missing",IF(tblProducts[[#This Row],[Current Price]]&lt;=Price_Q1,"Low Price",IF(tblProducts[[#This Row],[Current Price]]&lt;=Price_Q3,"Medium Price","High Price")))</f>
        <v>Low Price</v>
      </c>
      <c r="M62" t="str">
        <f>IF(tblProducts[[#This Row],[Current Price]]&gt;tblProducts[[#This Row],[Old Price]],"Check prices","OK")</f>
        <v>OK</v>
      </c>
      <c r="N62" t="str">
        <f>IF(tblProducts[[#This Row],[Review]]="","Missing",IF(tblProducts[[#This Row],[Review]]&gt;=Review_P75,"Strong Engagement","Normal"))</f>
        <v>Normal</v>
      </c>
    </row>
    <row r="63" spans="1:14" x14ac:dyDescent="0.25">
      <c r="A63" t="s">
        <v>191</v>
      </c>
      <c r="B63" s="8">
        <v>2115</v>
      </c>
      <c r="C63" s="8">
        <v>4700</v>
      </c>
      <c r="D63" s="6">
        <v>0.55000000000000004</v>
      </c>
      <c r="E63" s="14">
        <v>13</v>
      </c>
      <c r="F63" s="17">
        <v>2.1</v>
      </c>
      <c r="G63" s="3" t="str">
        <f>IF(OR(tblProducts[[#This Row],[Rating]]&lt;0,tblProducts[[#This Row],[Rating]]&gt;5),"Check rating","OK")</f>
        <v>OK</v>
      </c>
      <c r="H63" s="7">
        <f t="shared" si="3"/>
        <v>2585</v>
      </c>
      <c r="I63" s="3" t="str">
        <f t="shared" si="4"/>
        <v>Poor</v>
      </c>
      <c r="J63" s="3" t="str">
        <f>IF(OR(tblProducts[[#This Row],[Discount]]&lt;0,tblProducts[[#This Row],[Discount]]&gt;1),"Check discount","OK")</f>
        <v>OK</v>
      </c>
      <c r="K63" t="str">
        <f t="shared" si="5"/>
        <v>High Discount</v>
      </c>
      <c r="L63" t="str">
        <f>IF(tblProducts[[#This Row],[Current Price]]="","Missing",IF(tblProducts[[#This Row],[Current Price]]&lt;=Price_Q1,"Low Price",IF(tblProducts[[#This Row],[Current Price]]&lt;=Price_Q3,"Medium Price","High Price")))</f>
        <v>High Price</v>
      </c>
      <c r="M63" t="str">
        <f>IF(tblProducts[[#This Row],[Current Price]]&gt;tblProducts[[#This Row],[Old Price]],"Check prices","OK")</f>
        <v>OK</v>
      </c>
      <c r="N63" t="str">
        <f>IF(tblProducts[[#This Row],[Review]]="","Missing",IF(tblProducts[[#This Row],[Review]]&gt;=Review_P75,"Strong Engagement","Normal"))</f>
        <v>Normal</v>
      </c>
    </row>
    <row r="64" spans="1:14" x14ac:dyDescent="0.25">
      <c r="A64" t="s">
        <v>195</v>
      </c>
      <c r="B64" s="8">
        <v>445</v>
      </c>
      <c r="C64" s="8">
        <v>873</v>
      </c>
      <c r="D64" s="6">
        <v>0.49</v>
      </c>
      <c r="E64" s="14">
        <v>69</v>
      </c>
      <c r="F64" s="17">
        <v>2.8</v>
      </c>
      <c r="G64" s="3" t="str">
        <f>IF(OR(tblProducts[[#This Row],[Rating]]&lt;0,tblProducts[[#This Row],[Rating]]&gt;5),"Check rating","OK")</f>
        <v>OK</v>
      </c>
      <c r="H64" s="7">
        <f t="shared" si="3"/>
        <v>428</v>
      </c>
      <c r="I64" s="3" t="str">
        <f t="shared" si="4"/>
        <v>Poor</v>
      </c>
      <c r="J64" s="3" t="str">
        <f>IF(OR(tblProducts[[#This Row],[Discount]]&lt;0,tblProducts[[#This Row],[Discount]]&gt;1),"Check discount","OK")</f>
        <v>OK</v>
      </c>
      <c r="K64" t="str">
        <f t="shared" si="5"/>
        <v>High Discount</v>
      </c>
      <c r="L64" t="str">
        <f>IF(tblProducts[[#This Row],[Current Price]]="","Missing",IF(tblProducts[[#This Row],[Current Price]]&lt;=Price_Q1,"Low Price",IF(tblProducts[[#This Row],[Current Price]]&lt;=Price_Q3,"Medium Price","High Price")))</f>
        <v>Low Price</v>
      </c>
      <c r="M64" t="str">
        <f>IF(tblProducts[[#This Row],[Current Price]]&gt;tblProducts[[#This Row],[Old Price]],"Check prices","OK")</f>
        <v>OK</v>
      </c>
      <c r="N64" t="str">
        <f>IF(tblProducts[[#This Row],[Review]]="","Missing",IF(tblProducts[[#This Row],[Review]]&gt;=Review_P75,"Strong Engagement","Normal"))</f>
        <v>Strong Engagement</v>
      </c>
    </row>
    <row r="65" spans="1:14" x14ac:dyDescent="0.25">
      <c r="A65" t="s">
        <v>199</v>
      </c>
      <c r="B65" s="8">
        <v>325</v>
      </c>
      <c r="C65" s="8">
        <v>680</v>
      </c>
      <c r="D65" s="6">
        <v>0.52</v>
      </c>
      <c r="E65" s="14">
        <v>15</v>
      </c>
      <c r="F65" s="17">
        <v>2.7</v>
      </c>
      <c r="G65" s="3" t="str">
        <f>IF(OR(tblProducts[[#This Row],[Rating]]&lt;0,tblProducts[[#This Row],[Rating]]&gt;5),"Check rating","OK")</f>
        <v>OK</v>
      </c>
      <c r="H65" s="7">
        <f t="shared" si="3"/>
        <v>355</v>
      </c>
      <c r="I65" s="3" t="str">
        <f t="shared" si="4"/>
        <v>Poor</v>
      </c>
      <c r="J65" s="3" t="str">
        <f>IF(OR(tblProducts[[#This Row],[Discount]]&lt;0,tblProducts[[#This Row],[Discount]]&gt;1),"Check discount","OK")</f>
        <v>OK</v>
      </c>
      <c r="K65" t="str">
        <f t="shared" si="5"/>
        <v>High Discount</v>
      </c>
      <c r="L65" t="str">
        <f>IF(tblProducts[[#This Row],[Current Price]]="","Missing",IF(tblProducts[[#This Row],[Current Price]]&lt;=Price_Q1,"Low Price",IF(tblProducts[[#This Row],[Current Price]]&lt;=Price_Q3,"Medium Price","High Price")))</f>
        <v>Low Price</v>
      </c>
      <c r="M65" t="str">
        <f>IF(tblProducts[[#This Row],[Current Price]]&gt;tblProducts[[#This Row],[Old Price]],"Check prices","OK")</f>
        <v>OK</v>
      </c>
      <c r="N65" t="str">
        <f>IF(tblProducts[[#This Row],[Review]]="","Missing",IF(tblProducts[[#This Row],[Review]]&gt;=Review_P75,"Strong Engagement","Normal"))</f>
        <v>Strong Engagement</v>
      </c>
    </row>
    <row r="66" spans="1:14" x14ac:dyDescent="0.25">
      <c r="A66" t="s">
        <v>203</v>
      </c>
      <c r="B66" s="8">
        <v>1220</v>
      </c>
      <c r="C66" s="8">
        <v>1555</v>
      </c>
      <c r="D66" s="6">
        <v>0.22</v>
      </c>
      <c r="E66" s="14">
        <v>16</v>
      </c>
      <c r="F66" s="17">
        <v>2.9</v>
      </c>
      <c r="G66" s="3" t="str">
        <f>IF(OR(tblProducts[[#This Row],[Rating]]&lt;0,tblProducts[[#This Row],[Rating]]&gt;5),"Check rating","OK")</f>
        <v>OK</v>
      </c>
      <c r="H66" s="7">
        <f t="shared" ref="H66:H97" si="6">(C66-B66)</f>
        <v>335</v>
      </c>
      <c r="I66" s="3" t="str">
        <f t="shared" ref="I66:I97" si="7">IF(ISBLANK(F66), "Rating not provided", IF(F66&lt;3,"Poor", IF(AND(F66&gt;=3, F66 &lt;=4),"Average", IF(F66&gt;=4.5,"Excellent", "Unclassified"))))</f>
        <v>Poor</v>
      </c>
      <c r="J66" s="3" t="str">
        <f>IF(OR(tblProducts[[#This Row],[Discount]]&lt;0,tblProducts[[#This Row],[Discount]]&gt;1),"Check discount","OK")</f>
        <v>OK</v>
      </c>
      <c r="K66" t="str">
        <f t="shared" ref="K66:K97" si="8">IF(ISBLANK(D66), "Missing", IF(D66&lt;20%, "Low Discount", IF(D66&lt;=40%, "Medium Discount", "High Discount")))</f>
        <v>Medium Discount</v>
      </c>
      <c r="L66" t="str">
        <f>IF(tblProducts[[#This Row],[Current Price]]="","Missing",IF(tblProducts[[#This Row],[Current Price]]&lt;=Price_Q1,"Low Price",IF(tblProducts[[#This Row],[Current Price]]&lt;=Price_Q3,"Medium Price","High Price")))</f>
        <v>Medium Price</v>
      </c>
      <c r="M66" t="str">
        <f>IF(tblProducts[[#This Row],[Current Price]]&gt;tblProducts[[#This Row],[Old Price]],"Check prices","OK")</f>
        <v>OK</v>
      </c>
      <c r="N66" t="str">
        <f>IF(tblProducts[[#This Row],[Review]]="","Missing",IF(tblProducts[[#This Row],[Review]]&gt;=Review_P75,"Strong Engagement","Normal"))</f>
        <v>Strong Engagement</v>
      </c>
    </row>
    <row r="67" spans="1:14" x14ac:dyDescent="0.25">
      <c r="A67" t="s">
        <v>207</v>
      </c>
      <c r="B67" s="8">
        <v>990</v>
      </c>
      <c r="C67" s="8">
        <v>1814</v>
      </c>
      <c r="D67" s="6">
        <v>0.45</v>
      </c>
      <c r="E67" s="14">
        <v>6</v>
      </c>
      <c r="F67" s="17">
        <v>2.2000000000000002</v>
      </c>
      <c r="G67" s="3" t="str">
        <f>IF(OR(tblProducts[[#This Row],[Rating]]&lt;0,tblProducts[[#This Row],[Rating]]&gt;5),"Check rating","OK")</f>
        <v>OK</v>
      </c>
      <c r="H67" s="7">
        <f t="shared" si="6"/>
        <v>824</v>
      </c>
      <c r="I67" s="3" t="str">
        <f t="shared" si="7"/>
        <v>Poor</v>
      </c>
      <c r="J67" s="3" t="str">
        <f>IF(OR(tblProducts[[#This Row],[Discount]]&lt;0,tblProducts[[#This Row],[Discount]]&gt;1),"Check discount","OK")</f>
        <v>OK</v>
      </c>
      <c r="K67" t="str">
        <f t="shared" si="8"/>
        <v>High Discount</v>
      </c>
      <c r="L67" t="str">
        <f>IF(tblProducts[[#This Row],[Current Price]]="","Missing",IF(tblProducts[[#This Row],[Current Price]]&lt;=Price_Q1,"Low Price",IF(tblProducts[[#This Row],[Current Price]]&lt;=Price_Q3,"Medium Price","High Price")))</f>
        <v>Medium Price</v>
      </c>
      <c r="M67" t="str">
        <f>IF(tblProducts[[#This Row],[Current Price]]&gt;tblProducts[[#This Row],[Old Price]],"Check prices","OK")</f>
        <v>OK</v>
      </c>
      <c r="N67" t="str">
        <f>IF(tblProducts[[#This Row],[Review]]="","Missing",IF(tblProducts[[#This Row],[Review]]&gt;=Review_P75,"Strong Engagement","Normal"))</f>
        <v>Normal</v>
      </c>
    </row>
    <row r="68" spans="1:14" x14ac:dyDescent="0.25">
      <c r="A68" t="s">
        <v>210</v>
      </c>
      <c r="B68" s="8">
        <v>1000</v>
      </c>
      <c r="C68" s="8">
        <v>2000</v>
      </c>
      <c r="D68" s="6">
        <v>0.5</v>
      </c>
      <c r="E68" s="14">
        <v>7</v>
      </c>
      <c r="F68" s="17">
        <v>2.2999999999999998</v>
      </c>
      <c r="G68" s="3" t="str">
        <f>IF(OR(tblProducts[[#This Row],[Rating]]&lt;0,tblProducts[[#This Row],[Rating]]&gt;5),"Check rating","OK")</f>
        <v>OK</v>
      </c>
      <c r="H68" s="7">
        <f t="shared" si="6"/>
        <v>1000</v>
      </c>
      <c r="I68" s="3" t="str">
        <f t="shared" si="7"/>
        <v>Poor</v>
      </c>
      <c r="J68" s="3" t="str">
        <f>IF(OR(tblProducts[[#This Row],[Discount]]&lt;0,tblProducts[[#This Row],[Discount]]&gt;1),"Check discount","OK")</f>
        <v>OK</v>
      </c>
      <c r="K68" t="str">
        <f t="shared" si="8"/>
        <v>High Discount</v>
      </c>
      <c r="L68" t="str">
        <f>IF(tblProducts[[#This Row],[Current Price]]="","Missing",IF(tblProducts[[#This Row],[Current Price]]&lt;=Price_Q1,"Low Price",IF(tblProducts[[#This Row],[Current Price]]&lt;=Price_Q3,"Medium Price","High Price")))</f>
        <v>Medium Price</v>
      </c>
      <c r="M68" t="str">
        <f>IF(tblProducts[[#This Row],[Current Price]]&gt;tblProducts[[#This Row],[Old Price]],"Check prices","OK")</f>
        <v>OK</v>
      </c>
      <c r="N68" t="str">
        <f>IF(tblProducts[[#This Row],[Review]]="","Missing",IF(tblProducts[[#This Row],[Review]]&gt;=Review_P75,"Strong Engagement","Normal"))</f>
        <v>Normal</v>
      </c>
    </row>
    <row r="69" spans="1:14" x14ac:dyDescent="0.25">
      <c r="A69" t="s">
        <v>213</v>
      </c>
      <c r="B69" s="8">
        <v>3750</v>
      </c>
      <c r="C69" s="8">
        <v>6143</v>
      </c>
      <c r="D69" s="6">
        <v>0.39</v>
      </c>
      <c r="E69" s="14">
        <v>5</v>
      </c>
      <c r="F69" s="17">
        <v>3</v>
      </c>
      <c r="G69" s="3" t="str">
        <f>IF(OR(tblProducts[[#This Row],[Rating]]&lt;0,tblProducts[[#This Row],[Rating]]&gt;5),"Check rating","OK")</f>
        <v>OK</v>
      </c>
      <c r="H69" s="7">
        <f t="shared" si="6"/>
        <v>2393</v>
      </c>
      <c r="I69" s="3" t="str">
        <f t="shared" si="7"/>
        <v>Average</v>
      </c>
      <c r="J69" s="3" t="str">
        <f>IF(OR(tblProducts[[#This Row],[Discount]]&lt;0,tblProducts[[#This Row],[Discount]]&gt;1),"Check discount","OK")</f>
        <v>OK</v>
      </c>
      <c r="K69" t="str">
        <f t="shared" si="8"/>
        <v>Medium Discount</v>
      </c>
      <c r="L69" t="str">
        <f>IF(tblProducts[[#This Row],[Current Price]]="","Missing",IF(tblProducts[[#This Row],[Current Price]]&lt;=Price_Q1,"Low Price",IF(tblProducts[[#This Row],[Current Price]]&lt;=Price_Q3,"Medium Price","High Price")))</f>
        <v>High Price</v>
      </c>
      <c r="M69" t="str">
        <f>IF(tblProducts[[#This Row],[Current Price]]&gt;tblProducts[[#This Row],[Old Price]],"Check prices","OK")</f>
        <v>OK</v>
      </c>
      <c r="N69" t="str">
        <f>IF(tblProducts[[#This Row],[Review]]="","Missing",IF(tblProducts[[#This Row],[Review]]&gt;=Review_P75,"Strong Engagement","Normal"))</f>
        <v>Normal</v>
      </c>
    </row>
    <row r="70" spans="1:14" x14ac:dyDescent="0.25">
      <c r="A70" t="s">
        <v>216</v>
      </c>
      <c r="B70" s="8">
        <v>382</v>
      </c>
      <c r="C70" s="8">
        <v>700</v>
      </c>
      <c r="D70" s="6">
        <v>0.45</v>
      </c>
      <c r="E70" s="14">
        <v>17</v>
      </c>
      <c r="F70" s="17">
        <v>2.6</v>
      </c>
      <c r="G70" s="3" t="str">
        <f>IF(OR(tblProducts[[#This Row],[Rating]]&lt;0,tblProducts[[#This Row],[Rating]]&gt;5),"Check rating","OK")</f>
        <v>OK</v>
      </c>
      <c r="H70" s="7">
        <f t="shared" si="6"/>
        <v>318</v>
      </c>
      <c r="I70" s="3" t="str">
        <f t="shared" si="7"/>
        <v>Poor</v>
      </c>
      <c r="J70" s="3" t="str">
        <f>IF(OR(tblProducts[[#This Row],[Discount]]&lt;0,tblProducts[[#This Row],[Discount]]&gt;1),"Check discount","OK")</f>
        <v>OK</v>
      </c>
      <c r="K70" t="str">
        <f t="shared" si="8"/>
        <v>High Discount</v>
      </c>
      <c r="L70" t="str">
        <f>IF(tblProducts[[#This Row],[Current Price]]="","Missing",IF(tblProducts[[#This Row],[Current Price]]&lt;=Price_Q1,"Low Price",IF(tblProducts[[#This Row],[Current Price]]&lt;=Price_Q3,"Medium Price","High Price")))</f>
        <v>Low Price</v>
      </c>
      <c r="M70" t="str">
        <f>IF(tblProducts[[#This Row],[Current Price]]&gt;tblProducts[[#This Row],[Old Price]],"Check prices","OK")</f>
        <v>OK</v>
      </c>
      <c r="N70" t="str">
        <f>IF(tblProducts[[#This Row],[Review]]="","Missing",IF(tblProducts[[#This Row],[Review]]&gt;=Review_P75,"Strong Engagement","Normal"))</f>
        <v>Strong Engagement</v>
      </c>
    </row>
    <row r="71" spans="1:14" x14ac:dyDescent="0.25">
      <c r="A71" t="s">
        <v>219</v>
      </c>
      <c r="B71" s="8">
        <v>2300</v>
      </c>
      <c r="C71" s="8">
        <v>3240</v>
      </c>
      <c r="D71" s="6">
        <v>0.28999999999999998</v>
      </c>
      <c r="E71" s="14">
        <v>5</v>
      </c>
      <c r="F71" s="17">
        <v>3</v>
      </c>
      <c r="G71" s="3" t="str">
        <f>IF(OR(tblProducts[[#This Row],[Rating]]&lt;0,tblProducts[[#This Row],[Rating]]&gt;5),"Check rating","OK")</f>
        <v>OK</v>
      </c>
      <c r="H71" s="7">
        <f t="shared" si="6"/>
        <v>940</v>
      </c>
      <c r="I71" s="3" t="str">
        <f t="shared" si="7"/>
        <v>Average</v>
      </c>
      <c r="J71" s="3" t="str">
        <f>IF(OR(tblProducts[[#This Row],[Discount]]&lt;0,tblProducts[[#This Row],[Discount]]&gt;1),"Check discount","OK")</f>
        <v>OK</v>
      </c>
      <c r="K71" t="str">
        <f t="shared" si="8"/>
        <v>Medium Discount</v>
      </c>
      <c r="L71" t="str">
        <f>IF(tblProducts[[#This Row],[Current Price]]="","Missing",IF(tblProducts[[#This Row],[Current Price]]&lt;=Price_Q1,"Low Price",IF(tblProducts[[#This Row],[Current Price]]&lt;=Price_Q3,"Medium Price","High Price")))</f>
        <v>High Price</v>
      </c>
      <c r="M71" t="str">
        <f>IF(tblProducts[[#This Row],[Current Price]]&gt;tblProducts[[#This Row],[Old Price]],"Check prices","OK")</f>
        <v>OK</v>
      </c>
      <c r="N71" t="str">
        <f>IF(tblProducts[[#This Row],[Review]]="","Missing",IF(tblProducts[[#This Row],[Review]]&gt;=Review_P75,"Strong Engagement","Normal"))</f>
        <v>Normal</v>
      </c>
    </row>
    <row r="72" spans="1:14" x14ac:dyDescent="0.25">
      <c r="A72" t="s">
        <v>222</v>
      </c>
      <c r="B72" s="8">
        <v>345</v>
      </c>
      <c r="C72" s="8">
        <v>602</v>
      </c>
      <c r="D72" s="6">
        <v>0.43</v>
      </c>
      <c r="E72" s="14">
        <v>6</v>
      </c>
      <c r="F72" s="17">
        <v>2.2999999999999998</v>
      </c>
      <c r="G72" s="3" t="str">
        <f>IF(OR(tblProducts[[#This Row],[Rating]]&lt;0,tblProducts[[#This Row],[Rating]]&gt;5),"Check rating","OK")</f>
        <v>OK</v>
      </c>
      <c r="H72" s="7">
        <f t="shared" si="6"/>
        <v>257</v>
      </c>
      <c r="I72" s="3" t="str">
        <f t="shared" si="7"/>
        <v>Poor</v>
      </c>
      <c r="J72" s="3" t="str">
        <f>IF(OR(tblProducts[[#This Row],[Discount]]&lt;0,tblProducts[[#This Row],[Discount]]&gt;1),"Check discount","OK")</f>
        <v>OK</v>
      </c>
      <c r="K72" t="str">
        <f t="shared" si="8"/>
        <v>High Discount</v>
      </c>
      <c r="L72" t="str">
        <f>IF(tblProducts[[#This Row],[Current Price]]="","Missing",IF(tblProducts[[#This Row],[Current Price]]&lt;=Price_Q1,"Low Price",IF(tblProducts[[#This Row],[Current Price]]&lt;=Price_Q3,"Medium Price","High Price")))</f>
        <v>Low Price</v>
      </c>
      <c r="M72" t="str">
        <f>IF(tblProducts[[#This Row],[Current Price]]&gt;tblProducts[[#This Row],[Old Price]],"Check prices","OK")</f>
        <v>OK</v>
      </c>
      <c r="N72" t="str">
        <f>IF(tblProducts[[#This Row],[Review]]="","Missing",IF(tblProducts[[#This Row],[Review]]&gt;=Review_P75,"Strong Engagement","Normal"))</f>
        <v>Normal</v>
      </c>
    </row>
    <row r="73" spans="1:14" x14ac:dyDescent="0.25">
      <c r="A73" t="s">
        <v>225</v>
      </c>
      <c r="B73" s="8">
        <v>509</v>
      </c>
      <c r="C73" s="8">
        <v>899</v>
      </c>
      <c r="D73" s="6">
        <v>0.43</v>
      </c>
      <c r="E73" s="14">
        <v>5</v>
      </c>
      <c r="F73" s="17">
        <v>3</v>
      </c>
      <c r="G73" s="3" t="str">
        <f>IF(OR(tblProducts[[#This Row],[Rating]]&lt;0,tblProducts[[#This Row],[Rating]]&gt;5),"Check rating","OK")</f>
        <v>OK</v>
      </c>
      <c r="H73" s="7">
        <f t="shared" si="6"/>
        <v>390</v>
      </c>
      <c r="I73" s="3" t="str">
        <f t="shared" si="7"/>
        <v>Average</v>
      </c>
      <c r="J73" s="3" t="str">
        <f>IF(OR(tblProducts[[#This Row],[Discount]]&lt;0,tblProducts[[#This Row],[Discount]]&gt;1),"Check discount","OK")</f>
        <v>OK</v>
      </c>
      <c r="K73" t="str">
        <f t="shared" si="8"/>
        <v>High Discount</v>
      </c>
      <c r="L73" t="str">
        <f>IF(tblProducts[[#This Row],[Current Price]]="","Missing",IF(tblProducts[[#This Row],[Current Price]]&lt;=Price_Q1,"Low Price",IF(tblProducts[[#This Row],[Current Price]]&lt;=Price_Q3,"Medium Price","High Price")))</f>
        <v>Medium Price</v>
      </c>
      <c r="M73" t="str">
        <f>IF(tblProducts[[#This Row],[Current Price]]&gt;tblProducts[[#This Row],[Old Price]],"Check prices","OK")</f>
        <v>OK</v>
      </c>
      <c r="N73" t="str">
        <f>IF(tblProducts[[#This Row],[Review]]="","Missing",IF(tblProducts[[#This Row],[Review]]&gt;=Review_P75,"Strong Engagement","Normal"))</f>
        <v>Normal</v>
      </c>
    </row>
    <row r="74" spans="1:14" x14ac:dyDescent="0.25">
      <c r="A74" t="s">
        <v>228</v>
      </c>
      <c r="B74" s="8">
        <v>968</v>
      </c>
      <c r="C74" s="8">
        <v>1814</v>
      </c>
      <c r="D74" s="6">
        <v>0.47</v>
      </c>
      <c r="E74" s="14">
        <v>6</v>
      </c>
      <c r="F74" s="17">
        <v>2.2000000000000002</v>
      </c>
      <c r="G74" s="3" t="str">
        <f>IF(OR(tblProducts[[#This Row],[Rating]]&lt;0,tblProducts[[#This Row],[Rating]]&gt;5),"Check rating","OK")</f>
        <v>OK</v>
      </c>
      <c r="H74" s="7">
        <f t="shared" si="6"/>
        <v>846</v>
      </c>
      <c r="I74" s="3" t="str">
        <f t="shared" si="7"/>
        <v>Poor</v>
      </c>
      <c r="J74" s="3" t="str">
        <f>IF(OR(tblProducts[[#This Row],[Discount]]&lt;0,tblProducts[[#This Row],[Discount]]&gt;1),"Check discount","OK")</f>
        <v>OK</v>
      </c>
      <c r="K74" t="str">
        <f t="shared" si="8"/>
        <v>High Discount</v>
      </c>
      <c r="L74" t="str">
        <f>IF(tblProducts[[#This Row],[Current Price]]="","Missing",IF(tblProducts[[#This Row],[Current Price]]&lt;=Price_Q1,"Low Price",IF(tblProducts[[#This Row],[Current Price]]&lt;=Price_Q3,"Medium Price","High Price")))</f>
        <v>Medium Price</v>
      </c>
      <c r="M74" t="str">
        <f>IF(tblProducts[[#This Row],[Current Price]]&gt;tblProducts[[#This Row],[Old Price]],"Check prices","OK")</f>
        <v>OK</v>
      </c>
      <c r="N74" t="str">
        <f>IF(tblProducts[[#This Row],[Review]]="","Missing",IF(tblProducts[[#This Row],[Review]]&gt;=Review_P75,"Strong Engagement","Normal"))</f>
        <v>Normal</v>
      </c>
    </row>
    <row r="75" spans="1:14" x14ac:dyDescent="0.25">
      <c r="A75" t="s">
        <v>230</v>
      </c>
      <c r="B75" s="8">
        <v>1570</v>
      </c>
      <c r="C75" s="8">
        <v>2988</v>
      </c>
      <c r="D75" s="6">
        <v>0.47</v>
      </c>
      <c r="E75" s="14">
        <v>7</v>
      </c>
      <c r="F75" s="17">
        <v>2.1</v>
      </c>
      <c r="G75" s="3" t="str">
        <f>IF(OR(tblProducts[[#This Row],[Rating]]&lt;0,tblProducts[[#This Row],[Rating]]&gt;5),"Check rating","OK")</f>
        <v>OK</v>
      </c>
      <c r="H75" s="7">
        <f t="shared" si="6"/>
        <v>1418</v>
      </c>
      <c r="I75" s="3" t="str">
        <f t="shared" si="7"/>
        <v>Poor</v>
      </c>
      <c r="J75" s="3" t="str">
        <f>IF(OR(tblProducts[[#This Row],[Discount]]&lt;0,tblProducts[[#This Row],[Discount]]&gt;1),"Check discount","OK")</f>
        <v>OK</v>
      </c>
      <c r="K75" t="str">
        <f t="shared" si="8"/>
        <v>High Discount</v>
      </c>
      <c r="L75" t="str">
        <f>IF(tblProducts[[#This Row],[Current Price]]="","Missing",IF(tblProducts[[#This Row],[Current Price]]&lt;=Price_Q1,"Low Price",IF(tblProducts[[#This Row],[Current Price]]&lt;=Price_Q3,"Medium Price","High Price")))</f>
        <v>Medium Price</v>
      </c>
      <c r="M75" t="str">
        <f>IF(tblProducts[[#This Row],[Current Price]]&gt;tblProducts[[#This Row],[Old Price]],"Check prices","OK")</f>
        <v>OK</v>
      </c>
      <c r="N75" t="str">
        <f>IF(tblProducts[[#This Row],[Review]]="","Missing",IF(tblProducts[[#This Row],[Review]]&gt;=Review_P75,"Strong Engagement","Normal"))</f>
        <v>Normal</v>
      </c>
    </row>
    <row r="76" spans="1:14" x14ac:dyDescent="0.25">
      <c r="A76" t="s">
        <v>233</v>
      </c>
      <c r="B76" s="8">
        <v>790</v>
      </c>
      <c r="C76" s="8">
        <v>1485</v>
      </c>
      <c r="D76" s="6">
        <v>0.47</v>
      </c>
      <c r="G76" s="3" t="str">
        <f>IF(OR(tblProducts[[#This Row],[Rating]]&lt;0,tblProducts[[#This Row],[Rating]]&gt;5),"Check rating","OK")</f>
        <v>OK</v>
      </c>
      <c r="H76" s="7">
        <f t="shared" si="6"/>
        <v>695</v>
      </c>
      <c r="I76" s="3" t="str">
        <f t="shared" si="7"/>
        <v>Rating not provided</v>
      </c>
      <c r="J76" s="3" t="str">
        <f>IF(OR(tblProducts[[#This Row],[Discount]]&lt;0,tblProducts[[#This Row],[Discount]]&gt;1),"Check discount","OK")</f>
        <v>OK</v>
      </c>
      <c r="K76" t="str">
        <f t="shared" si="8"/>
        <v>High Discount</v>
      </c>
      <c r="L76" t="str">
        <f>IF(tblProducts[[#This Row],[Current Price]]="","Missing",IF(tblProducts[[#This Row],[Current Price]]&lt;=Price_Q1,"Low Price",IF(tblProducts[[#This Row],[Current Price]]&lt;=Price_Q3,"Medium Price","High Price")))</f>
        <v>Medium Price</v>
      </c>
      <c r="M76" t="str">
        <f>IF(tblProducts[[#This Row],[Current Price]]&gt;tblProducts[[#This Row],[Old Price]],"Check prices","OK")</f>
        <v>OK</v>
      </c>
      <c r="N76" t="str">
        <f>IF(tblProducts[[#This Row],[Review]]="","Missing",IF(tblProducts[[#This Row],[Review]]&gt;=Review_P75,"Strong Engagement","Normal"))</f>
        <v>Missing</v>
      </c>
    </row>
    <row r="77" spans="1:14" x14ac:dyDescent="0.25">
      <c r="A77" t="s">
        <v>236</v>
      </c>
      <c r="B77" s="8">
        <v>690</v>
      </c>
      <c r="C77" s="8">
        <v>1200</v>
      </c>
      <c r="D77" s="6">
        <v>0.43</v>
      </c>
      <c r="G77" s="3" t="str">
        <f>IF(OR(tblProducts[[#This Row],[Rating]]&lt;0,tblProducts[[#This Row],[Rating]]&gt;5),"Check rating","OK")</f>
        <v>OK</v>
      </c>
      <c r="H77" s="7">
        <f t="shared" si="6"/>
        <v>510</v>
      </c>
      <c r="I77" s="3" t="str">
        <f t="shared" si="7"/>
        <v>Rating not provided</v>
      </c>
      <c r="J77" s="3" t="str">
        <f>IF(OR(tblProducts[[#This Row],[Discount]]&lt;0,tblProducts[[#This Row],[Discount]]&gt;1),"Check discount","OK")</f>
        <v>OK</v>
      </c>
      <c r="K77" t="str">
        <f t="shared" si="8"/>
        <v>High Discount</v>
      </c>
      <c r="L77" t="str">
        <f>IF(tblProducts[[#This Row],[Current Price]]="","Missing",IF(tblProducts[[#This Row],[Current Price]]&lt;=Price_Q1,"Low Price",IF(tblProducts[[#This Row],[Current Price]]&lt;=Price_Q3,"Medium Price","High Price")))</f>
        <v>Medium Price</v>
      </c>
      <c r="M77" t="str">
        <f>IF(tblProducts[[#This Row],[Current Price]]&gt;tblProducts[[#This Row],[Old Price]],"Check prices","OK")</f>
        <v>OK</v>
      </c>
      <c r="N77" t="str">
        <f>IF(tblProducts[[#This Row],[Review]]="","Missing",IF(tblProducts[[#This Row],[Review]]&gt;=Review_P75,"Strong Engagement","Normal"))</f>
        <v>Missing</v>
      </c>
    </row>
    <row r="78" spans="1:14" x14ac:dyDescent="0.25">
      <c r="A78" t="s">
        <v>238</v>
      </c>
      <c r="B78" s="8">
        <v>1732</v>
      </c>
      <c r="C78" s="8">
        <v>1799</v>
      </c>
      <c r="D78" s="6">
        <v>0.04</v>
      </c>
      <c r="G78" s="3" t="str">
        <f>IF(OR(tblProducts[[#This Row],[Rating]]&lt;0,tblProducts[[#This Row],[Rating]]&gt;5),"Check rating","OK")</f>
        <v>OK</v>
      </c>
      <c r="H78" s="7">
        <f t="shared" si="6"/>
        <v>67</v>
      </c>
      <c r="I78" s="3" t="str">
        <f t="shared" si="7"/>
        <v>Rating not provided</v>
      </c>
      <c r="J78" s="3" t="str">
        <f>IF(OR(tblProducts[[#This Row],[Discount]]&lt;0,tblProducts[[#This Row],[Discount]]&gt;1),"Check discount","OK")</f>
        <v>OK</v>
      </c>
      <c r="K78" t="str">
        <f t="shared" si="8"/>
        <v>Low Discount</v>
      </c>
      <c r="L78" t="str">
        <f>IF(tblProducts[[#This Row],[Current Price]]="","Missing",IF(tblProducts[[#This Row],[Current Price]]&lt;=Price_Q1,"Low Price",IF(tblProducts[[#This Row],[Current Price]]&lt;=Price_Q3,"Medium Price","High Price")))</f>
        <v>High Price</v>
      </c>
      <c r="M78" t="str">
        <f>IF(tblProducts[[#This Row],[Current Price]]&gt;tblProducts[[#This Row],[Old Price]],"Check prices","OK")</f>
        <v>OK</v>
      </c>
      <c r="N78" t="str">
        <f>IF(tblProducts[[#This Row],[Review]]="","Missing",IF(tblProducts[[#This Row],[Review]]&gt;=Review_P75,"Strong Engagement","Normal"))</f>
        <v>Missing</v>
      </c>
    </row>
    <row r="79" spans="1:14" x14ac:dyDescent="0.25">
      <c r="A79" t="s">
        <v>241</v>
      </c>
      <c r="B79" s="8">
        <v>230</v>
      </c>
      <c r="C79" s="8">
        <v>450</v>
      </c>
      <c r="D79" s="6">
        <v>0.49</v>
      </c>
      <c r="G79" s="3" t="str">
        <f>IF(OR(tblProducts[[#This Row],[Rating]]&lt;0,tblProducts[[#This Row],[Rating]]&gt;5),"Check rating","OK")</f>
        <v>OK</v>
      </c>
      <c r="H79" s="7">
        <f t="shared" si="6"/>
        <v>220</v>
      </c>
      <c r="I79" s="3" t="str">
        <f t="shared" si="7"/>
        <v>Rating not provided</v>
      </c>
      <c r="J79" s="3" t="str">
        <f>IF(OR(tblProducts[[#This Row],[Discount]]&lt;0,tblProducts[[#This Row],[Discount]]&gt;1),"Check discount","OK")</f>
        <v>OK</v>
      </c>
      <c r="K79" t="str">
        <f t="shared" si="8"/>
        <v>High Discount</v>
      </c>
      <c r="L79" t="str">
        <f>IF(tblProducts[[#This Row],[Current Price]]="","Missing",IF(tblProducts[[#This Row],[Current Price]]&lt;=Price_Q1,"Low Price",IF(tblProducts[[#This Row],[Current Price]]&lt;=Price_Q3,"Medium Price","High Price")))</f>
        <v>Low Price</v>
      </c>
      <c r="M79" t="str">
        <f>IF(tblProducts[[#This Row],[Current Price]]&gt;tblProducts[[#This Row],[Old Price]],"Check prices","OK")</f>
        <v>OK</v>
      </c>
      <c r="N79" t="str">
        <f>IF(tblProducts[[#This Row],[Review]]="","Missing",IF(tblProducts[[#This Row],[Review]]&gt;=Review_P75,"Strong Engagement","Normal"))</f>
        <v>Missing</v>
      </c>
    </row>
    <row r="80" spans="1:14" x14ac:dyDescent="0.25">
      <c r="A80" t="s">
        <v>244</v>
      </c>
      <c r="B80" s="8">
        <v>1189</v>
      </c>
      <c r="C80" s="8">
        <v>2199</v>
      </c>
      <c r="D80" s="6">
        <v>0.46</v>
      </c>
      <c r="E80" s="14">
        <v>1</v>
      </c>
      <c r="F80" s="17">
        <v>3</v>
      </c>
      <c r="G80" s="3" t="str">
        <f>IF(OR(tblProducts[[#This Row],[Rating]]&lt;0,tblProducts[[#This Row],[Rating]]&gt;5),"Check rating","OK")</f>
        <v>OK</v>
      </c>
      <c r="H80" s="7">
        <f t="shared" si="6"/>
        <v>1010</v>
      </c>
      <c r="I80" s="3" t="str">
        <f t="shared" si="7"/>
        <v>Average</v>
      </c>
      <c r="J80" s="3" t="str">
        <f>IF(OR(tblProducts[[#This Row],[Discount]]&lt;0,tblProducts[[#This Row],[Discount]]&gt;1),"Check discount","OK")</f>
        <v>OK</v>
      </c>
      <c r="K80" t="str">
        <f t="shared" si="8"/>
        <v>High Discount</v>
      </c>
      <c r="L80" t="str">
        <f>IF(tblProducts[[#This Row],[Current Price]]="","Missing",IF(tblProducts[[#This Row],[Current Price]]&lt;=Price_Q1,"Low Price",IF(tblProducts[[#This Row],[Current Price]]&lt;=Price_Q3,"Medium Price","High Price")))</f>
        <v>Medium Price</v>
      </c>
      <c r="M80" t="str">
        <f>IF(tblProducts[[#This Row],[Current Price]]&gt;tblProducts[[#This Row],[Old Price]],"Check prices","OK")</f>
        <v>OK</v>
      </c>
      <c r="N80" t="str">
        <f>IF(tblProducts[[#This Row],[Review]]="","Missing",IF(tblProducts[[#This Row],[Review]]&gt;=Review_P75,"Strong Engagement","Normal"))</f>
        <v>Normal</v>
      </c>
    </row>
    <row r="81" spans="1:14" x14ac:dyDescent="0.25">
      <c r="A81" t="s">
        <v>246</v>
      </c>
      <c r="B81" s="8">
        <v>979</v>
      </c>
      <c r="C81" s="8">
        <v>1920</v>
      </c>
      <c r="D81" s="6">
        <v>0.49</v>
      </c>
      <c r="E81" s="14">
        <v>1</v>
      </c>
      <c r="F81" s="17">
        <v>5</v>
      </c>
      <c r="G81" s="3" t="str">
        <f>IF(OR(tblProducts[[#This Row],[Rating]]&lt;0,tblProducts[[#This Row],[Rating]]&gt;5),"Check rating","OK")</f>
        <v>OK</v>
      </c>
      <c r="H81" s="7">
        <f t="shared" si="6"/>
        <v>941</v>
      </c>
      <c r="I81" s="3" t="str">
        <f t="shared" si="7"/>
        <v>Excellent</v>
      </c>
      <c r="J81" s="3" t="str">
        <f>IF(OR(tblProducts[[#This Row],[Discount]]&lt;0,tblProducts[[#This Row],[Discount]]&gt;1),"Check discount","OK")</f>
        <v>OK</v>
      </c>
      <c r="K81" t="str">
        <f t="shared" si="8"/>
        <v>High Discount</v>
      </c>
      <c r="L81" t="str">
        <f>IF(tblProducts[[#This Row],[Current Price]]="","Missing",IF(tblProducts[[#This Row],[Current Price]]&lt;=Price_Q1,"Low Price",IF(tblProducts[[#This Row],[Current Price]]&lt;=Price_Q3,"Medium Price","High Price")))</f>
        <v>Medium Price</v>
      </c>
      <c r="M81" t="str">
        <f>IF(tblProducts[[#This Row],[Current Price]]&gt;tblProducts[[#This Row],[Old Price]],"Check prices","OK")</f>
        <v>OK</v>
      </c>
      <c r="N81" t="str">
        <f>IF(tblProducts[[#This Row],[Review]]="","Missing",IF(tblProducts[[#This Row],[Review]]&gt;=Review_P75,"Strong Engagement","Normal"))</f>
        <v>Normal</v>
      </c>
    </row>
    <row r="82" spans="1:14" x14ac:dyDescent="0.25">
      <c r="A82" t="s">
        <v>249</v>
      </c>
      <c r="B82" s="8">
        <v>1460</v>
      </c>
      <c r="C82" s="8">
        <v>2290</v>
      </c>
      <c r="D82" s="6">
        <v>0.36</v>
      </c>
      <c r="G82" s="3" t="str">
        <f>IF(OR(tblProducts[[#This Row],[Rating]]&lt;0,tblProducts[[#This Row],[Rating]]&gt;5),"Check rating","OK")</f>
        <v>OK</v>
      </c>
      <c r="H82" s="7">
        <f t="shared" si="6"/>
        <v>830</v>
      </c>
      <c r="I82" s="3" t="str">
        <f t="shared" si="7"/>
        <v>Rating not provided</v>
      </c>
      <c r="J82" s="3" t="str">
        <f>IF(OR(tblProducts[[#This Row],[Discount]]&lt;0,tblProducts[[#This Row],[Discount]]&gt;1),"Check discount","OK")</f>
        <v>OK</v>
      </c>
      <c r="K82" t="str">
        <f t="shared" si="8"/>
        <v>Medium Discount</v>
      </c>
      <c r="L82" t="str">
        <f>IF(tblProducts[[#This Row],[Current Price]]="","Missing",IF(tblProducts[[#This Row],[Current Price]]&lt;=Price_Q1,"Low Price",IF(tblProducts[[#This Row],[Current Price]]&lt;=Price_Q3,"Medium Price","High Price")))</f>
        <v>Medium Price</v>
      </c>
      <c r="M82" t="str">
        <f>IF(tblProducts[[#This Row],[Current Price]]&gt;tblProducts[[#This Row],[Old Price]],"Check prices","OK")</f>
        <v>OK</v>
      </c>
      <c r="N82" t="str">
        <f>IF(tblProducts[[#This Row],[Review]]="","Missing",IF(tblProducts[[#This Row],[Review]]&gt;=Review_P75,"Strong Engagement","Normal"))</f>
        <v>Missing</v>
      </c>
    </row>
    <row r="83" spans="1:14" x14ac:dyDescent="0.25">
      <c r="A83" t="s">
        <v>252</v>
      </c>
      <c r="B83" s="8">
        <v>1666</v>
      </c>
      <c r="C83" s="8">
        <v>1699</v>
      </c>
      <c r="D83" s="6">
        <v>0.02</v>
      </c>
      <c r="G83" s="3" t="str">
        <f>IF(OR(tblProducts[[#This Row],[Rating]]&lt;0,tblProducts[[#This Row],[Rating]]&gt;5),"Check rating","OK")</f>
        <v>OK</v>
      </c>
      <c r="H83" s="7">
        <f t="shared" si="6"/>
        <v>33</v>
      </c>
      <c r="I83" s="3" t="str">
        <f t="shared" si="7"/>
        <v>Rating not provided</v>
      </c>
      <c r="J83" s="3" t="str">
        <f>IF(OR(tblProducts[[#This Row],[Discount]]&lt;0,tblProducts[[#This Row],[Discount]]&gt;1),"Check discount","OK")</f>
        <v>OK</v>
      </c>
      <c r="K83" t="str">
        <f t="shared" si="8"/>
        <v>Low Discount</v>
      </c>
      <c r="L83" t="str">
        <f>IF(tblProducts[[#This Row],[Current Price]]="","Missing",IF(tblProducts[[#This Row],[Current Price]]&lt;=Price_Q1,"Low Price",IF(tblProducts[[#This Row],[Current Price]]&lt;=Price_Q3,"Medium Price","High Price")))</f>
        <v>Medium Price</v>
      </c>
      <c r="M83" t="str">
        <f>IF(tblProducts[[#This Row],[Current Price]]&gt;tblProducts[[#This Row],[Old Price]],"Check prices","OK")</f>
        <v>OK</v>
      </c>
      <c r="N83" t="str">
        <f>IF(tblProducts[[#This Row],[Review]]="","Missing",IF(tblProducts[[#This Row],[Review]]&gt;=Review_P75,"Strong Engagement","Normal"))</f>
        <v>Missing</v>
      </c>
    </row>
    <row r="84" spans="1:14" x14ac:dyDescent="0.25">
      <c r="A84" t="s">
        <v>254</v>
      </c>
      <c r="B84" s="8">
        <v>330</v>
      </c>
      <c r="C84" s="8">
        <v>647</v>
      </c>
      <c r="D84" s="6">
        <v>0.49</v>
      </c>
      <c r="E84" s="14">
        <v>1</v>
      </c>
      <c r="F84" s="17">
        <v>4</v>
      </c>
      <c r="G84" s="3" t="str">
        <f>IF(OR(tblProducts[[#This Row],[Rating]]&lt;0,tblProducts[[#This Row],[Rating]]&gt;5),"Check rating","OK")</f>
        <v>OK</v>
      </c>
      <c r="H84" s="7">
        <f t="shared" si="6"/>
        <v>317</v>
      </c>
      <c r="I84" s="3" t="str">
        <f t="shared" si="7"/>
        <v>Average</v>
      </c>
      <c r="J84" s="3" t="str">
        <f>IF(OR(tblProducts[[#This Row],[Discount]]&lt;0,tblProducts[[#This Row],[Discount]]&gt;1),"Check discount","OK")</f>
        <v>OK</v>
      </c>
      <c r="K84" t="str">
        <f t="shared" si="8"/>
        <v>High Discount</v>
      </c>
      <c r="L84" t="str">
        <f>IF(tblProducts[[#This Row],[Current Price]]="","Missing",IF(tblProducts[[#This Row],[Current Price]]&lt;=Price_Q1,"Low Price",IF(tblProducts[[#This Row],[Current Price]]&lt;=Price_Q3,"Medium Price","High Price")))</f>
        <v>Low Price</v>
      </c>
      <c r="M84" t="str">
        <f>IF(tblProducts[[#This Row],[Current Price]]&gt;tblProducts[[#This Row],[Old Price]],"Check prices","OK")</f>
        <v>OK</v>
      </c>
      <c r="N84" t="str">
        <f>IF(tblProducts[[#This Row],[Review]]="","Missing",IF(tblProducts[[#This Row],[Review]]&gt;=Review_P75,"Strong Engagement","Normal"))</f>
        <v>Normal</v>
      </c>
    </row>
    <row r="85" spans="1:14" x14ac:dyDescent="0.25">
      <c r="A85" t="s">
        <v>155</v>
      </c>
      <c r="B85" s="8">
        <v>176</v>
      </c>
      <c r="C85" s="8">
        <v>345</v>
      </c>
      <c r="D85" s="6">
        <v>0.49</v>
      </c>
      <c r="G85" s="3" t="str">
        <f>IF(OR(tblProducts[[#This Row],[Rating]]&lt;0,tblProducts[[#This Row],[Rating]]&gt;5),"Check rating","OK")</f>
        <v>OK</v>
      </c>
      <c r="H85" s="7">
        <f t="shared" si="6"/>
        <v>169</v>
      </c>
      <c r="I85" s="3" t="str">
        <f t="shared" si="7"/>
        <v>Rating not provided</v>
      </c>
      <c r="J85" s="3" t="str">
        <f>IF(OR(tblProducts[[#This Row],[Discount]]&lt;0,tblProducts[[#This Row],[Discount]]&gt;1),"Check discount","OK")</f>
        <v>OK</v>
      </c>
      <c r="K85" t="str">
        <f t="shared" si="8"/>
        <v>High Discount</v>
      </c>
      <c r="L85" t="str">
        <f>IF(tblProducts[[#This Row],[Current Price]]="","Missing",IF(tblProducts[[#This Row],[Current Price]]&lt;=Price_Q1,"Low Price",IF(tblProducts[[#This Row],[Current Price]]&lt;=Price_Q3,"Medium Price","High Price")))</f>
        <v>Low Price</v>
      </c>
      <c r="M85" t="str">
        <f>IF(tblProducts[[#This Row],[Current Price]]&gt;tblProducts[[#This Row],[Old Price]],"Check prices","OK")</f>
        <v>OK</v>
      </c>
      <c r="N85" t="str">
        <f>IF(tblProducts[[#This Row],[Review]]="","Missing",IF(tblProducts[[#This Row],[Review]]&gt;=Review_P75,"Strong Engagement","Normal"))</f>
        <v>Missing</v>
      </c>
    </row>
    <row r="86" spans="1:14" x14ac:dyDescent="0.25">
      <c r="A86" t="s">
        <v>257</v>
      </c>
      <c r="B86" s="8">
        <v>1466</v>
      </c>
      <c r="C86" s="8">
        <v>1699</v>
      </c>
      <c r="D86" s="6">
        <v>0.14000000000000001</v>
      </c>
      <c r="G86" s="3" t="str">
        <f>IF(OR(tblProducts[[#This Row],[Rating]]&lt;0,tblProducts[[#This Row],[Rating]]&gt;5),"Check rating","OK")</f>
        <v>OK</v>
      </c>
      <c r="H86" s="7">
        <f t="shared" si="6"/>
        <v>233</v>
      </c>
      <c r="I86" s="3" t="str">
        <f t="shared" si="7"/>
        <v>Rating not provided</v>
      </c>
      <c r="J86" s="3" t="str">
        <f>IF(OR(tblProducts[[#This Row],[Discount]]&lt;0,tblProducts[[#This Row],[Discount]]&gt;1),"Check discount","OK")</f>
        <v>OK</v>
      </c>
      <c r="K86" t="str">
        <f t="shared" si="8"/>
        <v>Low Discount</v>
      </c>
      <c r="L86" t="str">
        <f>IF(tblProducts[[#This Row],[Current Price]]="","Missing",IF(tblProducts[[#This Row],[Current Price]]&lt;=Price_Q1,"Low Price",IF(tblProducts[[#This Row],[Current Price]]&lt;=Price_Q3,"Medium Price","High Price")))</f>
        <v>Medium Price</v>
      </c>
      <c r="M86" t="str">
        <f>IF(tblProducts[[#This Row],[Current Price]]&gt;tblProducts[[#This Row],[Old Price]],"Check prices","OK")</f>
        <v>OK</v>
      </c>
      <c r="N86" t="str">
        <f>IF(tblProducts[[#This Row],[Review]]="","Missing",IF(tblProducts[[#This Row],[Review]]&gt;=Review_P75,"Strong Engagement","Normal"))</f>
        <v>Missing</v>
      </c>
    </row>
    <row r="87" spans="1:14" x14ac:dyDescent="0.25">
      <c r="A87" t="s">
        <v>259</v>
      </c>
      <c r="B87" s="8">
        <v>274</v>
      </c>
      <c r="C87" s="8">
        <v>537</v>
      </c>
      <c r="D87" s="6">
        <v>0.49</v>
      </c>
      <c r="G87" s="3" t="str">
        <f>IF(OR(tblProducts[[#This Row],[Rating]]&lt;0,tblProducts[[#This Row],[Rating]]&gt;5),"Check rating","OK")</f>
        <v>OK</v>
      </c>
      <c r="H87" s="7">
        <f t="shared" si="6"/>
        <v>263</v>
      </c>
      <c r="I87" s="3" t="str">
        <f t="shared" si="7"/>
        <v>Rating not provided</v>
      </c>
      <c r="J87" s="3" t="str">
        <f>IF(OR(tblProducts[[#This Row],[Discount]]&lt;0,tblProducts[[#This Row],[Discount]]&gt;1),"Check discount","OK")</f>
        <v>OK</v>
      </c>
      <c r="K87" t="str">
        <f t="shared" si="8"/>
        <v>High Discount</v>
      </c>
      <c r="L87" t="str">
        <f>IF(tblProducts[[#This Row],[Current Price]]="","Missing",IF(tblProducts[[#This Row],[Current Price]]&lt;=Price_Q1,"Low Price",IF(tblProducts[[#This Row],[Current Price]]&lt;=Price_Q3,"Medium Price","High Price")))</f>
        <v>Low Price</v>
      </c>
      <c r="M87" t="str">
        <f>IF(tblProducts[[#This Row],[Current Price]]&gt;tblProducts[[#This Row],[Old Price]],"Check prices","OK")</f>
        <v>OK</v>
      </c>
      <c r="N87" t="str">
        <f>IF(tblProducts[[#This Row],[Review]]="","Missing",IF(tblProducts[[#This Row],[Review]]&gt;=Review_P75,"Strong Engagement","Normal"))</f>
        <v>Missing</v>
      </c>
    </row>
    <row r="88" spans="1:14" x14ac:dyDescent="0.25">
      <c r="A88" t="s">
        <v>262</v>
      </c>
      <c r="B88" s="8">
        <v>799</v>
      </c>
      <c r="C88" s="8">
        <v>900</v>
      </c>
      <c r="D88" s="6">
        <v>0.11</v>
      </c>
      <c r="G88" s="3" t="str">
        <f>IF(OR(tblProducts[[#This Row],[Rating]]&lt;0,tblProducts[[#This Row],[Rating]]&gt;5),"Check rating","OK")</f>
        <v>OK</v>
      </c>
      <c r="H88" s="7">
        <f t="shared" si="6"/>
        <v>101</v>
      </c>
      <c r="I88" s="3" t="str">
        <f t="shared" si="7"/>
        <v>Rating not provided</v>
      </c>
      <c r="J88" s="3" t="str">
        <f>IF(OR(tblProducts[[#This Row],[Discount]]&lt;0,tblProducts[[#This Row],[Discount]]&gt;1),"Check discount","OK")</f>
        <v>OK</v>
      </c>
      <c r="K88" t="str">
        <f t="shared" si="8"/>
        <v>Low Discount</v>
      </c>
      <c r="L88" t="str">
        <f>IF(tblProducts[[#This Row],[Current Price]]="","Missing",IF(tblProducts[[#This Row],[Current Price]]&lt;=Price_Q1,"Low Price",IF(tblProducts[[#This Row],[Current Price]]&lt;=Price_Q3,"Medium Price","High Price")))</f>
        <v>Medium Price</v>
      </c>
      <c r="M88" t="str">
        <f>IF(tblProducts[[#This Row],[Current Price]]&gt;tblProducts[[#This Row],[Old Price]],"Check prices","OK")</f>
        <v>OK</v>
      </c>
      <c r="N88" t="str">
        <f>IF(tblProducts[[#This Row],[Review]]="","Missing",IF(tblProducts[[#This Row],[Review]]&gt;=Review_P75,"Strong Engagement","Normal"))</f>
        <v>Missing</v>
      </c>
    </row>
    <row r="89" spans="1:14" x14ac:dyDescent="0.25">
      <c r="A89" t="s">
        <v>176</v>
      </c>
      <c r="B89" s="8">
        <v>657</v>
      </c>
      <c r="C89" s="8">
        <v>1288</v>
      </c>
      <c r="D89" s="6">
        <v>0.49</v>
      </c>
      <c r="G89" s="3" t="str">
        <f>IF(OR(tblProducts[[#This Row],[Rating]]&lt;0,tblProducts[[#This Row],[Rating]]&gt;5),"Check rating","OK")</f>
        <v>OK</v>
      </c>
      <c r="H89" s="7">
        <f t="shared" si="6"/>
        <v>631</v>
      </c>
      <c r="I89" s="3" t="str">
        <f t="shared" si="7"/>
        <v>Rating not provided</v>
      </c>
      <c r="J89" s="3" t="str">
        <f>IF(OR(tblProducts[[#This Row],[Discount]]&lt;0,tblProducts[[#This Row],[Discount]]&gt;1),"Check discount","OK")</f>
        <v>OK</v>
      </c>
      <c r="K89" t="str">
        <f t="shared" si="8"/>
        <v>High Discount</v>
      </c>
      <c r="L89" t="str">
        <f>IF(tblProducts[[#This Row],[Current Price]]="","Missing",IF(tblProducts[[#This Row],[Current Price]]&lt;=Price_Q1,"Low Price",IF(tblProducts[[#This Row],[Current Price]]&lt;=Price_Q3,"Medium Price","High Price")))</f>
        <v>Medium Price</v>
      </c>
      <c r="M89" t="str">
        <f>IF(tblProducts[[#This Row],[Current Price]]&gt;tblProducts[[#This Row],[Old Price]],"Check prices","OK")</f>
        <v>OK</v>
      </c>
      <c r="N89" t="str">
        <f>IF(tblProducts[[#This Row],[Review]]="","Missing",IF(tblProducts[[#This Row],[Review]]&gt;=Review_P75,"Strong Engagement","Normal"))</f>
        <v>Missing</v>
      </c>
    </row>
    <row r="90" spans="1:14" x14ac:dyDescent="0.25">
      <c r="A90" t="s">
        <v>265</v>
      </c>
      <c r="B90" s="8">
        <v>1468</v>
      </c>
      <c r="C90" s="8">
        <v>1699</v>
      </c>
      <c r="D90" s="6">
        <v>0.14000000000000001</v>
      </c>
      <c r="G90" s="3" t="str">
        <f>IF(OR(tblProducts[[#This Row],[Rating]]&lt;0,tblProducts[[#This Row],[Rating]]&gt;5),"Check rating","OK")</f>
        <v>OK</v>
      </c>
      <c r="H90" s="7">
        <f t="shared" si="6"/>
        <v>231</v>
      </c>
      <c r="I90" s="3" t="str">
        <f t="shared" si="7"/>
        <v>Rating not provided</v>
      </c>
      <c r="J90" s="3" t="str">
        <f>IF(OR(tblProducts[[#This Row],[Discount]]&lt;0,tblProducts[[#This Row],[Discount]]&gt;1),"Check discount","OK")</f>
        <v>OK</v>
      </c>
      <c r="K90" t="str">
        <f t="shared" si="8"/>
        <v>Low Discount</v>
      </c>
      <c r="L90" t="str">
        <f>IF(tblProducts[[#This Row],[Current Price]]="","Missing",IF(tblProducts[[#This Row],[Current Price]]&lt;=Price_Q1,"Low Price",IF(tblProducts[[#This Row],[Current Price]]&lt;=Price_Q3,"Medium Price","High Price")))</f>
        <v>Medium Price</v>
      </c>
      <c r="M90" t="str">
        <f>IF(tblProducts[[#This Row],[Current Price]]&gt;tblProducts[[#This Row],[Old Price]],"Check prices","OK")</f>
        <v>OK</v>
      </c>
      <c r="N90" t="str">
        <f>IF(tblProducts[[#This Row],[Review]]="","Missing",IF(tblProducts[[#This Row],[Review]]&gt;=Review_P75,"Strong Engagement","Normal"))</f>
        <v>Missing</v>
      </c>
    </row>
    <row r="91" spans="1:14" x14ac:dyDescent="0.25">
      <c r="A91" t="s">
        <v>267</v>
      </c>
      <c r="B91" s="8">
        <v>630</v>
      </c>
      <c r="C91" s="8">
        <v>1100</v>
      </c>
      <c r="D91" s="6">
        <v>0.43</v>
      </c>
      <c r="G91" s="3" t="str">
        <f>IF(OR(tblProducts[[#This Row],[Rating]]&lt;0,tblProducts[[#This Row],[Rating]]&gt;5),"Check rating","OK")</f>
        <v>OK</v>
      </c>
      <c r="H91" s="7">
        <f t="shared" si="6"/>
        <v>470</v>
      </c>
      <c r="I91" s="3" t="str">
        <f t="shared" si="7"/>
        <v>Rating not provided</v>
      </c>
      <c r="J91" s="3" t="str">
        <f>IF(OR(tblProducts[[#This Row],[Discount]]&lt;0,tblProducts[[#This Row],[Discount]]&gt;1),"Check discount","OK")</f>
        <v>OK</v>
      </c>
      <c r="K91" t="str">
        <f t="shared" si="8"/>
        <v>High Discount</v>
      </c>
      <c r="L91" t="str">
        <f>IF(tblProducts[[#This Row],[Current Price]]="","Missing",IF(tblProducts[[#This Row],[Current Price]]&lt;=Price_Q1,"Low Price",IF(tblProducts[[#This Row],[Current Price]]&lt;=Price_Q3,"Medium Price","High Price")))</f>
        <v>Medium Price</v>
      </c>
      <c r="M91" t="str">
        <f>IF(tblProducts[[#This Row],[Current Price]]&gt;tblProducts[[#This Row],[Old Price]],"Check prices","OK")</f>
        <v>OK</v>
      </c>
      <c r="N91" t="str">
        <f>IF(tblProducts[[#This Row],[Review]]="","Missing",IF(tblProducts[[#This Row],[Review]]&gt;=Review_P75,"Strong Engagement","Normal"))</f>
        <v>Missing</v>
      </c>
    </row>
    <row r="92" spans="1:14" x14ac:dyDescent="0.25">
      <c r="A92" t="s">
        <v>270</v>
      </c>
      <c r="B92" s="8">
        <v>850</v>
      </c>
      <c r="C92" s="8">
        <v>1700</v>
      </c>
      <c r="D92" s="6">
        <v>0.5</v>
      </c>
      <c r="G92" s="3" t="str">
        <f>IF(OR(tblProducts[[#This Row],[Rating]]&lt;0,tblProducts[[#This Row],[Rating]]&gt;5),"Check rating","OK")</f>
        <v>OK</v>
      </c>
      <c r="H92" s="7">
        <f t="shared" si="6"/>
        <v>850</v>
      </c>
      <c r="I92" s="3" t="str">
        <f t="shared" si="7"/>
        <v>Rating not provided</v>
      </c>
      <c r="J92" s="3" t="str">
        <f>IF(OR(tblProducts[[#This Row],[Discount]]&lt;0,tblProducts[[#This Row],[Discount]]&gt;1),"Check discount","OK")</f>
        <v>OK</v>
      </c>
      <c r="K92" t="str">
        <f t="shared" si="8"/>
        <v>High Discount</v>
      </c>
      <c r="L92" t="str">
        <f>IF(tblProducts[[#This Row],[Current Price]]="","Missing",IF(tblProducts[[#This Row],[Current Price]]&lt;=Price_Q1,"Low Price",IF(tblProducts[[#This Row],[Current Price]]&lt;=Price_Q3,"Medium Price","High Price")))</f>
        <v>Medium Price</v>
      </c>
      <c r="M92" t="str">
        <f>IF(tblProducts[[#This Row],[Current Price]]&gt;tblProducts[[#This Row],[Old Price]],"Check prices","OK")</f>
        <v>OK</v>
      </c>
      <c r="N92" t="str">
        <f>IF(tblProducts[[#This Row],[Review]]="","Missing",IF(tblProducts[[#This Row],[Review]]&gt;=Review_P75,"Strong Engagement","Normal"))</f>
        <v>Missing</v>
      </c>
    </row>
    <row r="93" spans="1:14" x14ac:dyDescent="0.25">
      <c r="A93" t="s">
        <v>273</v>
      </c>
      <c r="B93" s="8">
        <v>1300</v>
      </c>
      <c r="C93" s="8">
        <v>2500</v>
      </c>
      <c r="D93" s="6">
        <v>0.48</v>
      </c>
      <c r="G93" s="3" t="str">
        <f>IF(OR(tblProducts[[#This Row],[Rating]]&lt;0,tblProducts[[#This Row],[Rating]]&gt;5),"Check rating","OK")</f>
        <v>OK</v>
      </c>
      <c r="H93" s="7">
        <f t="shared" si="6"/>
        <v>1200</v>
      </c>
      <c r="I93" s="3" t="str">
        <f t="shared" si="7"/>
        <v>Rating not provided</v>
      </c>
      <c r="J93" s="3" t="str">
        <f>IF(OR(tblProducts[[#This Row],[Discount]]&lt;0,tblProducts[[#This Row],[Discount]]&gt;1),"Check discount","OK")</f>
        <v>OK</v>
      </c>
      <c r="K93" t="str">
        <f t="shared" si="8"/>
        <v>High Discount</v>
      </c>
      <c r="L93" t="str">
        <f>IF(tblProducts[[#This Row],[Current Price]]="","Missing",IF(tblProducts[[#This Row],[Current Price]]&lt;=Price_Q1,"Low Price",IF(tblProducts[[#This Row],[Current Price]]&lt;=Price_Q3,"Medium Price","High Price")))</f>
        <v>Medium Price</v>
      </c>
      <c r="M93" t="str">
        <f>IF(tblProducts[[#This Row],[Current Price]]&gt;tblProducts[[#This Row],[Old Price]],"Check prices","OK")</f>
        <v>OK</v>
      </c>
      <c r="N93" t="str">
        <f>IF(tblProducts[[#This Row],[Review]]="","Missing",IF(tblProducts[[#This Row],[Review]]&gt;=Review_P75,"Strong Engagement","Normal"))</f>
        <v>Missing</v>
      </c>
    </row>
    <row r="94" spans="1:14" x14ac:dyDescent="0.25">
      <c r="A94" t="s">
        <v>275</v>
      </c>
      <c r="B94" s="8">
        <v>105</v>
      </c>
      <c r="C94" s="8">
        <v>200</v>
      </c>
      <c r="D94" s="6">
        <v>0.48</v>
      </c>
      <c r="G94" s="3" t="str">
        <f>IF(OR(tblProducts[[#This Row],[Rating]]&lt;0,tblProducts[[#This Row],[Rating]]&gt;5),"Check rating","OK")</f>
        <v>OK</v>
      </c>
      <c r="H94" s="7">
        <f t="shared" si="6"/>
        <v>95</v>
      </c>
      <c r="I94" s="3" t="str">
        <f t="shared" si="7"/>
        <v>Rating not provided</v>
      </c>
      <c r="J94" s="3" t="str">
        <f>IF(OR(tblProducts[[#This Row],[Discount]]&lt;0,tblProducts[[#This Row],[Discount]]&gt;1),"Check discount","OK")</f>
        <v>OK</v>
      </c>
      <c r="K94" t="str">
        <f t="shared" si="8"/>
        <v>High Discount</v>
      </c>
      <c r="L94" t="str">
        <f>IF(tblProducts[[#This Row],[Current Price]]="","Missing",IF(tblProducts[[#This Row],[Current Price]]&lt;=Price_Q1,"Low Price",IF(tblProducts[[#This Row],[Current Price]]&lt;=Price_Q3,"Medium Price","High Price")))</f>
        <v>Low Price</v>
      </c>
      <c r="M94" t="str">
        <f>IF(tblProducts[[#This Row],[Current Price]]&gt;tblProducts[[#This Row],[Old Price]],"Check prices","OK")</f>
        <v>OK</v>
      </c>
      <c r="N94" t="str">
        <f>IF(tblProducts[[#This Row],[Review]]="","Missing",IF(tblProducts[[#This Row],[Review]]&gt;=Review_P75,"Strong Engagement","Normal"))</f>
        <v>Missing</v>
      </c>
    </row>
    <row r="95" spans="1:14" x14ac:dyDescent="0.25">
      <c r="A95" t="s">
        <v>278</v>
      </c>
      <c r="B95" s="8">
        <v>899</v>
      </c>
      <c r="C95" s="8">
        <v>1699</v>
      </c>
      <c r="D95" s="6">
        <v>0.47</v>
      </c>
      <c r="G95" s="3" t="str">
        <f>IF(OR(tblProducts[[#This Row],[Rating]]&lt;0,tblProducts[[#This Row],[Rating]]&gt;5),"Check rating","OK")</f>
        <v>OK</v>
      </c>
      <c r="H95" s="7">
        <f t="shared" si="6"/>
        <v>800</v>
      </c>
      <c r="I95" s="3" t="str">
        <f t="shared" si="7"/>
        <v>Rating not provided</v>
      </c>
      <c r="J95" s="3" t="str">
        <f>IF(OR(tblProducts[[#This Row],[Discount]]&lt;0,tblProducts[[#This Row],[Discount]]&gt;1),"Check discount","OK")</f>
        <v>OK</v>
      </c>
      <c r="K95" t="str">
        <f t="shared" si="8"/>
        <v>High Discount</v>
      </c>
      <c r="L95" t="str">
        <f>IF(tblProducts[[#This Row],[Current Price]]="","Missing",IF(tblProducts[[#This Row],[Current Price]]&lt;=Price_Q1,"Low Price",IF(tblProducts[[#This Row],[Current Price]]&lt;=Price_Q3,"Medium Price","High Price")))</f>
        <v>Medium Price</v>
      </c>
      <c r="M95" t="str">
        <f>IF(tblProducts[[#This Row],[Current Price]]&gt;tblProducts[[#This Row],[Old Price]],"Check prices","OK")</f>
        <v>OK</v>
      </c>
      <c r="N95" t="str">
        <f>IF(tblProducts[[#This Row],[Review]]="","Missing",IF(tblProducts[[#This Row],[Review]]&gt;=Review_P75,"Strong Engagement","Normal"))</f>
        <v>Missing</v>
      </c>
    </row>
    <row r="96" spans="1:14" x14ac:dyDescent="0.25">
      <c r="A96" t="s">
        <v>279</v>
      </c>
      <c r="B96" s="8">
        <v>1200</v>
      </c>
      <c r="C96" s="8">
        <v>2400</v>
      </c>
      <c r="D96" s="6">
        <v>0.5</v>
      </c>
      <c r="G96" s="3" t="str">
        <f>IF(OR(tblProducts[[#This Row],[Rating]]&lt;0,tblProducts[[#This Row],[Rating]]&gt;5),"Check rating","OK")</f>
        <v>OK</v>
      </c>
      <c r="H96" s="7">
        <f t="shared" si="6"/>
        <v>1200</v>
      </c>
      <c r="I96" s="3" t="str">
        <f t="shared" si="7"/>
        <v>Rating not provided</v>
      </c>
      <c r="J96" s="3" t="str">
        <f>IF(OR(tblProducts[[#This Row],[Discount]]&lt;0,tblProducts[[#This Row],[Discount]]&gt;1),"Check discount","OK")</f>
        <v>OK</v>
      </c>
      <c r="K96" t="str">
        <f t="shared" si="8"/>
        <v>High Discount</v>
      </c>
      <c r="L96" t="str">
        <f>IF(tblProducts[[#This Row],[Current Price]]="","Missing",IF(tblProducts[[#This Row],[Current Price]]&lt;=Price_Q1,"Low Price",IF(tblProducts[[#This Row],[Current Price]]&lt;=Price_Q3,"Medium Price","High Price")))</f>
        <v>Medium Price</v>
      </c>
      <c r="M96" t="str">
        <f>IF(tblProducts[[#This Row],[Current Price]]&gt;tblProducts[[#This Row],[Old Price]],"Check prices","OK")</f>
        <v>OK</v>
      </c>
      <c r="N96" t="str">
        <f>IF(tblProducts[[#This Row],[Review]]="","Missing",IF(tblProducts[[#This Row],[Review]]&gt;=Review_P75,"Strong Engagement","Normal"))</f>
        <v>Missing</v>
      </c>
    </row>
    <row r="97" spans="1:14" x14ac:dyDescent="0.25">
      <c r="A97" t="s">
        <v>281</v>
      </c>
      <c r="B97" s="8">
        <v>1526</v>
      </c>
      <c r="C97" s="8">
        <v>1660</v>
      </c>
      <c r="D97" s="6">
        <v>0.08</v>
      </c>
      <c r="G97" s="3" t="str">
        <f>IF(OR(tblProducts[[#This Row],[Rating]]&lt;0,tblProducts[[#This Row],[Rating]]&gt;5),"Check rating","OK")</f>
        <v>OK</v>
      </c>
      <c r="H97" s="7">
        <f t="shared" si="6"/>
        <v>134</v>
      </c>
      <c r="I97" s="3" t="str">
        <f t="shared" si="7"/>
        <v>Rating not provided</v>
      </c>
      <c r="J97" s="3" t="str">
        <f>IF(OR(tblProducts[[#This Row],[Discount]]&lt;0,tblProducts[[#This Row],[Discount]]&gt;1),"Check discount","OK")</f>
        <v>OK</v>
      </c>
      <c r="K97" t="str">
        <f t="shared" si="8"/>
        <v>Low Discount</v>
      </c>
      <c r="L97" t="str">
        <f>IF(tblProducts[[#This Row],[Current Price]]="","Missing",IF(tblProducts[[#This Row],[Current Price]]&lt;=Price_Q1,"Low Price",IF(tblProducts[[#This Row],[Current Price]]&lt;=Price_Q3,"Medium Price","High Price")))</f>
        <v>Medium Price</v>
      </c>
      <c r="M97" t="str">
        <f>IF(tblProducts[[#This Row],[Current Price]]&gt;tblProducts[[#This Row],[Old Price]],"Check prices","OK")</f>
        <v>OK</v>
      </c>
      <c r="N97" t="str">
        <f>IF(tblProducts[[#This Row],[Review]]="","Missing",IF(tblProducts[[#This Row],[Review]]&gt;=Review_P75,"Strong Engagement","Normal"))</f>
        <v>Missing</v>
      </c>
    </row>
    <row r="98" spans="1:14" x14ac:dyDescent="0.25">
      <c r="A98" t="s">
        <v>283</v>
      </c>
      <c r="B98" s="8">
        <v>1462</v>
      </c>
      <c r="C98" s="8">
        <v>1499</v>
      </c>
      <c r="D98" s="6">
        <v>0.02</v>
      </c>
      <c r="G98" s="3" t="str">
        <f>IF(OR(tblProducts[[#This Row],[Rating]]&lt;0,tblProducts[[#This Row],[Rating]]&gt;5),"Check rating","OK")</f>
        <v>OK</v>
      </c>
      <c r="H98" s="7">
        <f t="shared" ref="H98:H113" si="9">(C98-B98)</f>
        <v>37</v>
      </c>
      <c r="I98" s="3" t="str">
        <f t="shared" ref="I98:I113" si="10">IF(ISBLANK(F98), "Rating not provided", IF(F98&lt;3,"Poor", IF(AND(F98&gt;=3, F98 &lt;=4),"Average", IF(F98&gt;=4.5,"Excellent", "Unclassified"))))</f>
        <v>Rating not provided</v>
      </c>
      <c r="J98" s="3" t="str">
        <f>IF(OR(tblProducts[[#This Row],[Discount]]&lt;0,tblProducts[[#This Row],[Discount]]&gt;1),"Check discount","OK")</f>
        <v>OK</v>
      </c>
      <c r="K98" t="str">
        <f t="shared" ref="K98:K113" si="11">IF(ISBLANK(D98), "Missing", IF(D98&lt;20%, "Low Discount", IF(D98&lt;=40%, "Medium Discount", "High Discount")))</f>
        <v>Low Discount</v>
      </c>
      <c r="L98" t="str">
        <f>IF(tblProducts[[#This Row],[Current Price]]="","Missing",IF(tblProducts[[#This Row],[Current Price]]&lt;=Price_Q1,"Low Price",IF(tblProducts[[#This Row],[Current Price]]&lt;=Price_Q3,"Medium Price","High Price")))</f>
        <v>Medium Price</v>
      </c>
      <c r="M98" t="str">
        <f>IF(tblProducts[[#This Row],[Current Price]]&gt;tblProducts[[#This Row],[Old Price]],"Check prices","OK")</f>
        <v>OK</v>
      </c>
      <c r="N98" t="str">
        <f>IF(tblProducts[[#This Row],[Review]]="","Missing",IF(tblProducts[[#This Row],[Review]]&gt;=Review_P75,"Strong Engagement","Normal"))</f>
        <v>Missing</v>
      </c>
    </row>
    <row r="99" spans="1:14" x14ac:dyDescent="0.25">
      <c r="A99" t="s">
        <v>285</v>
      </c>
      <c r="B99" s="8">
        <v>248</v>
      </c>
      <c r="C99" s="8">
        <v>486</v>
      </c>
      <c r="D99" s="6">
        <v>0.49</v>
      </c>
      <c r="G99" s="3" t="str">
        <f>IF(OR(tblProducts[[#This Row],[Rating]]&lt;0,tblProducts[[#This Row],[Rating]]&gt;5),"Check rating","OK")</f>
        <v>OK</v>
      </c>
      <c r="H99" s="7">
        <f t="shared" si="9"/>
        <v>238</v>
      </c>
      <c r="I99" s="3" t="str">
        <f t="shared" si="10"/>
        <v>Rating not provided</v>
      </c>
      <c r="J99" s="3" t="str">
        <f>IF(OR(tblProducts[[#This Row],[Discount]]&lt;0,tblProducts[[#This Row],[Discount]]&gt;1),"Check discount","OK")</f>
        <v>OK</v>
      </c>
      <c r="K99" t="str">
        <f t="shared" si="11"/>
        <v>High Discount</v>
      </c>
      <c r="L99" t="str">
        <f>IF(tblProducts[[#This Row],[Current Price]]="","Missing",IF(tblProducts[[#This Row],[Current Price]]&lt;=Price_Q1,"Low Price",IF(tblProducts[[#This Row],[Current Price]]&lt;=Price_Q3,"Medium Price","High Price")))</f>
        <v>Low Price</v>
      </c>
      <c r="M99" t="str">
        <f>IF(tblProducts[[#This Row],[Current Price]]&gt;tblProducts[[#This Row],[Old Price]],"Check prices","OK")</f>
        <v>OK</v>
      </c>
      <c r="N99" t="str">
        <f>IF(tblProducts[[#This Row],[Review]]="","Missing",IF(tblProducts[[#This Row],[Review]]&gt;=Review_P75,"Strong Engagement","Normal"))</f>
        <v>Missing</v>
      </c>
    </row>
    <row r="100" spans="1:14" x14ac:dyDescent="0.25">
      <c r="A100" t="s">
        <v>288</v>
      </c>
      <c r="B100" s="8">
        <v>3546</v>
      </c>
      <c r="C100" s="8">
        <v>3699</v>
      </c>
      <c r="D100" s="6">
        <v>0.04</v>
      </c>
      <c r="G100" s="3" t="str">
        <f>IF(OR(tblProducts[[#This Row],[Rating]]&lt;0,tblProducts[[#This Row],[Rating]]&gt;5),"Check rating","OK")</f>
        <v>OK</v>
      </c>
      <c r="H100" s="7">
        <f t="shared" si="9"/>
        <v>153</v>
      </c>
      <c r="I100" s="3" t="str">
        <f t="shared" si="10"/>
        <v>Rating not provided</v>
      </c>
      <c r="J100" s="3" t="str">
        <f>IF(OR(tblProducts[[#This Row],[Discount]]&lt;0,tblProducts[[#This Row],[Discount]]&gt;1),"Check discount","OK")</f>
        <v>OK</v>
      </c>
      <c r="K100" t="str">
        <f t="shared" si="11"/>
        <v>Low Discount</v>
      </c>
      <c r="L100" t="str">
        <f>IF(tblProducts[[#This Row],[Current Price]]="","Missing",IF(tblProducts[[#This Row],[Current Price]]&lt;=Price_Q1,"Low Price",IF(tblProducts[[#This Row],[Current Price]]&lt;=Price_Q3,"Medium Price","High Price")))</f>
        <v>High Price</v>
      </c>
      <c r="M100" t="str">
        <f>IF(tblProducts[[#This Row],[Current Price]]&gt;tblProducts[[#This Row],[Old Price]],"Check prices","OK")</f>
        <v>OK</v>
      </c>
      <c r="N100" t="str">
        <f>IF(tblProducts[[#This Row],[Review]]="","Missing",IF(tblProducts[[#This Row],[Review]]&gt;=Review_P75,"Strong Engagement","Normal"))</f>
        <v>Missing</v>
      </c>
    </row>
    <row r="101" spans="1:14" x14ac:dyDescent="0.25">
      <c r="A101" t="s">
        <v>290</v>
      </c>
      <c r="B101" s="8">
        <v>525</v>
      </c>
      <c r="C101" s="8">
        <v>1029</v>
      </c>
      <c r="D101" s="6">
        <v>0.49</v>
      </c>
      <c r="G101" s="3" t="str">
        <f>IF(OR(tblProducts[[#This Row],[Rating]]&lt;0,tblProducts[[#This Row],[Rating]]&gt;5),"Check rating","OK")</f>
        <v>OK</v>
      </c>
      <c r="H101" s="7">
        <f t="shared" si="9"/>
        <v>504</v>
      </c>
      <c r="I101" s="3" t="str">
        <f t="shared" si="10"/>
        <v>Rating not provided</v>
      </c>
      <c r="J101" s="3" t="str">
        <f>IF(OR(tblProducts[[#This Row],[Discount]]&lt;0,tblProducts[[#This Row],[Discount]]&gt;1),"Check discount","OK")</f>
        <v>OK</v>
      </c>
      <c r="K101" t="str">
        <f t="shared" si="11"/>
        <v>High Discount</v>
      </c>
      <c r="L101" t="str">
        <f>IF(tblProducts[[#This Row],[Current Price]]="","Missing",IF(tblProducts[[#This Row],[Current Price]]&lt;=Price_Q1,"Low Price",IF(tblProducts[[#This Row],[Current Price]]&lt;=Price_Q3,"Medium Price","High Price")))</f>
        <v>Medium Price</v>
      </c>
      <c r="M101" t="str">
        <f>IF(tblProducts[[#This Row],[Current Price]]&gt;tblProducts[[#This Row],[Old Price]],"Check prices","OK")</f>
        <v>OK</v>
      </c>
      <c r="N101" t="str">
        <f>IF(tblProducts[[#This Row],[Review]]="","Missing",IF(tblProducts[[#This Row],[Review]]&gt;=Review_P75,"Strong Engagement","Normal"))</f>
        <v>Missing</v>
      </c>
    </row>
    <row r="102" spans="1:14" x14ac:dyDescent="0.25">
      <c r="A102" t="s">
        <v>293</v>
      </c>
      <c r="B102" s="8">
        <v>1080</v>
      </c>
      <c r="C102" s="8">
        <v>1874</v>
      </c>
      <c r="D102" s="6">
        <v>0.42</v>
      </c>
      <c r="G102" s="3" t="str">
        <f>IF(OR(tblProducts[[#This Row],[Rating]]&lt;0,tblProducts[[#This Row],[Rating]]&gt;5),"Check rating","OK")</f>
        <v>OK</v>
      </c>
      <c r="H102" s="7">
        <f t="shared" si="9"/>
        <v>794</v>
      </c>
      <c r="I102" s="3" t="str">
        <f t="shared" si="10"/>
        <v>Rating not provided</v>
      </c>
      <c r="J102" s="3" t="str">
        <f>IF(OR(tblProducts[[#This Row],[Discount]]&lt;0,tblProducts[[#This Row],[Discount]]&gt;1),"Check discount","OK")</f>
        <v>OK</v>
      </c>
      <c r="K102" t="str">
        <f t="shared" si="11"/>
        <v>High Discount</v>
      </c>
      <c r="L102" t="str">
        <f>IF(tblProducts[[#This Row],[Current Price]]="","Missing",IF(tblProducts[[#This Row],[Current Price]]&lt;=Price_Q1,"Low Price",IF(tblProducts[[#This Row],[Current Price]]&lt;=Price_Q3,"Medium Price","High Price")))</f>
        <v>Medium Price</v>
      </c>
      <c r="M102" t="str">
        <f>IF(tblProducts[[#This Row],[Current Price]]&gt;tblProducts[[#This Row],[Old Price]],"Check prices","OK")</f>
        <v>OK</v>
      </c>
      <c r="N102" t="str">
        <f>IF(tblProducts[[#This Row],[Review]]="","Missing",IF(tblProducts[[#This Row],[Review]]&gt;=Review_P75,"Strong Engagement","Normal"))</f>
        <v>Missing</v>
      </c>
    </row>
    <row r="103" spans="1:14" x14ac:dyDescent="0.25">
      <c r="A103" t="s">
        <v>296</v>
      </c>
      <c r="B103" s="8">
        <v>3640</v>
      </c>
      <c r="C103" s="8">
        <v>4588</v>
      </c>
      <c r="D103" s="6">
        <v>0.21</v>
      </c>
      <c r="E103" s="14">
        <v>1</v>
      </c>
      <c r="F103" s="17">
        <v>5</v>
      </c>
      <c r="G103" s="3" t="str">
        <f>IF(OR(tblProducts[[#This Row],[Rating]]&lt;0,tblProducts[[#This Row],[Rating]]&gt;5),"Check rating","OK")</f>
        <v>OK</v>
      </c>
      <c r="H103" s="7">
        <f t="shared" si="9"/>
        <v>948</v>
      </c>
      <c r="I103" s="3" t="str">
        <f t="shared" si="10"/>
        <v>Excellent</v>
      </c>
      <c r="J103" s="3" t="str">
        <f>IF(OR(tblProducts[[#This Row],[Discount]]&lt;0,tblProducts[[#This Row],[Discount]]&gt;1),"Check discount","OK")</f>
        <v>OK</v>
      </c>
      <c r="K103" t="str">
        <f t="shared" si="11"/>
        <v>Medium Discount</v>
      </c>
      <c r="L103" t="str">
        <f>IF(tblProducts[[#This Row],[Current Price]]="","Missing",IF(tblProducts[[#This Row],[Current Price]]&lt;=Price_Q1,"Low Price",IF(tblProducts[[#This Row],[Current Price]]&lt;=Price_Q3,"Medium Price","High Price")))</f>
        <v>High Price</v>
      </c>
      <c r="M103" t="str">
        <f>IF(tblProducts[[#This Row],[Current Price]]&gt;tblProducts[[#This Row],[Old Price]],"Check prices","OK")</f>
        <v>OK</v>
      </c>
      <c r="N103" t="str">
        <f>IF(tblProducts[[#This Row],[Review]]="","Missing",IF(tblProducts[[#This Row],[Review]]&gt;=Review_P75,"Strong Engagement","Normal"))</f>
        <v>Normal</v>
      </c>
    </row>
    <row r="104" spans="1:14" x14ac:dyDescent="0.25">
      <c r="A104" t="s">
        <v>299</v>
      </c>
      <c r="B104" s="8">
        <v>1420</v>
      </c>
      <c r="C104" s="8">
        <v>2420</v>
      </c>
      <c r="D104" s="6">
        <v>0.41</v>
      </c>
      <c r="G104" s="3" t="str">
        <f>IF(OR(tblProducts[[#This Row],[Rating]]&lt;0,tblProducts[[#This Row],[Rating]]&gt;5),"Check rating","OK")</f>
        <v>OK</v>
      </c>
      <c r="H104" s="7">
        <f t="shared" si="9"/>
        <v>1000</v>
      </c>
      <c r="I104" s="3" t="str">
        <f t="shared" si="10"/>
        <v>Rating not provided</v>
      </c>
      <c r="J104" s="3" t="str">
        <f>IF(OR(tblProducts[[#This Row],[Discount]]&lt;0,tblProducts[[#This Row],[Discount]]&gt;1),"Check discount","OK")</f>
        <v>OK</v>
      </c>
      <c r="K104" t="str">
        <f t="shared" si="11"/>
        <v>High Discount</v>
      </c>
      <c r="L104" t="str">
        <f>IF(tblProducts[[#This Row],[Current Price]]="","Missing",IF(tblProducts[[#This Row],[Current Price]]&lt;=Price_Q1,"Low Price",IF(tblProducts[[#This Row],[Current Price]]&lt;=Price_Q3,"Medium Price","High Price")))</f>
        <v>Medium Price</v>
      </c>
      <c r="M104" t="str">
        <f>IF(tblProducts[[#This Row],[Current Price]]&gt;tblProducts[[#This Row],[Old Price]],"Check prices","OK")</f>
        <v>OK</v>
      </c>
      <c r="N104" t="str">
        <f>IF(tblProducts[[#This Row],[Review]]="","Missing",IF(tblProducts[[#This Row],[Review]]&gt;=Review_P75,"Strong Engagement","Normal"))</f>
        <v>Missing</v>
      </c>
    </row>
    <row r="105" spans="1:14" x14ac:dyDescent="0.25">
      <c r="A105" t="s">
        <v>302</v>
      </c>
      <c r="B105" s="8">
        <v>1875</v>
      </c>
      <c r="C105" s="8">
        <v>1899</v>
      </c>
      <c r="D105" s="6">
        <v>0.01</v>
      </c>
      <c r="G105" s="3" t="str">
        <f>IF(OR(tblProducts[[#This Row],[Rating]]&lt;0,tblProducts[[#This Row],[Rating]]&gt;5),"Check rating","OK")</f>
        <v>OK</v>
      </c>
      <c r="H105" s="7">
        <f t="shared" si="9"/>
        <v>24</v>
      </c>
      <c r="I105" s="3" t="str">
        <f t="shared" si="10"/>
        <v>Rating not provided</v>
      </c>
      <c r="J105" s="3" t="str">
        <f>IF(OR(tblProducts[[#This Row],[Discount]]&lt;0,tblProducts[[#This Row],[Discount]]&gt;1),"Check discount","OK")</f>
        <v>OK</v>
      </c>
      <c r="K105" t="str">
        <f t="shared" si="11"/>
        <v>Low Discount</v>
      </c>
      <c r="L105" t="str">
        <f>IF(tblProducts[[#This Row],[Current Price]]="","Missing",IF(tblProducts[[#This Row],[Current Price]]&lt;=Price_Q1,"Low Price",IF(tblProducts[[#This Row],[Current Price]]&lt;=Price_Q3,"Medium Price","High Price")))</f>
        <v>High Price</v>
      </c>
      <c r="M105" t="str">
        <f>IF(tblProducts[[#This Row],[Current Price]]&gt;tblProducts[[#This Row],[Old Price]],"Check prices","OK")</f>
        <v>OK</v>
      </c>
      <c r="N105" t="str">
        <f>IF(tblProducts[[#This Row],[Review]]="","Missing",IF(tblProducts[[#This Row],[Review]]&gt;=Review_P75,"Strong Engagement","Normal"))</f>
        <v>Missing</v>
      </c>
    </row>
    <row r="106" spans="1:14" x14ac:dyDescent="0.25">
      <c r="A106" t="s">
        <v>305</v>
      </c>
      <c r="B106" s="8">
        <v>198</v>
      </c>
      <c r="C106" s="8">
        <v>260</v>
      </c>
      <c r="D106" s="6">
        <v>0.24</v>
      </c>
      <c r="G106" s="3" t="str">
        <f>IF(OR(tblProducts[[#This Row],[Rating]]&lt;0,tblProducts[[#This Row],[Rating]]&gt;5),"Check rating","OK")</f>
        <v>OK</v>
      </c>
      <c r="H106" s="7">
        <f t="shared" si="9"/>
        <v>62</v>
      </c>
      <c r="I106" s="3" t="str">
        <f t="shared" si="10"/>
        <v>Rating not provided</v>
      </c>
      <c r="J106" s="3" t="str">
        <f>IF(OR(tblProducts[[#This Row],[Discount]]&lt;0,tblProducts[[#This Row],[Discount]]&gt;1),"Check discount","OK")</f>
        <v>OK</v>
      </c>
      <c r="K106" t="str">
        <f t="shared" si="11"/>
        <v>Medium Discount</v>
      </c>
      <c r="L106" t="str">
        <f>IF(tblProducts[[#This Row],[Current Price]]="","Missing",IF(tblProducts[[#This Row],[Current Price]]&lt;=Price_Q1,"Low Price",IF(tblProducts[[#This Row],[Current Price]]&lt;=Price_Q3,"Medium Price","High Price")))</f>
        <v>Low Price</v>
      </c>
      <c r="M106" t="str">
        <f>IF(tblProducts[[#This Row],[Current Price]]&gt;tblProducts[[#This Row],[Old Price]],"Check prices","OK")</f>
        <v>OK</v>
      </c>
      <c r="N106" t="str">
        <f>IF(tblProducts[[#This Row],[Review]]="","Missing",IF(tblProducts[[#This Row],[Review]]&gt;=Review_P75,"Strong Engagement","Normal"))</f>
        <v>Missing</v>
      </c>
    </row>
    <row r="107" spans="1:14" x14ac:dyDescent="0.25">
      <c r="A107" t="s">
        <v>308</v>
      </c>
      <c r="B107" s="8">
        <v>1150</v>
      </c>
      <c r="C107" s="8">
        <v>1737</v>
      </c>
      <c r="D107" s="6">
        <v>0.34</v>
      </c>
      <c r="G107" s="3" t="str">
        <f>IF(OR(tblProducts[[#This Row],[Rating]]&lt;0,tblProducts[[#This Row],[Rating]]&gt;5),"Check rating","OK")</f>
        <v>OK</v>
      </c>
      <c r="H107" s="7">
        <f t="shared" si="9"/>
        <v>587</v>
      </c>
      <c r="I107" s="3" t="str">
        <f t="shared" si="10"/>
        <v>Rating not provided</v>
      </c>
      <c r="J107" s="3" t="str">
        <f>IF(OR(tblProducts[[#This Row],[Discount]]&lt;0,tblProducts[[#This Row],[Discount]]&gt;1),"Check discount","OK")</f>
        <v>OK</v>
      </c>
      <c r="K107" t="str">
        <f t="shared" si="11"/>
        <v>Medium Discount</v>
      </c>
      <c r="L107" t="str">
        <f>IF(tblProducts[[#This Row],[Current Price]]="","Missing",IF(tblProducts[[#This Row],[Current Price]]&lt;=Price_Q1,"Low Price",IF(tblProducts[[#This Row],[Current Price]]&lt;=Price_Q3,"Medium Price","High Price")))</f>
        <v>Medium Price</v>
      </c>
      <c r="M107" t="str">
        <f>IF(tblProducts[[#This Row],[Current Price]]&gt;tblProducts[[#This Row],[Old Price]],"Check prices","OK")</f>
        <v>OK</v>
      </c>
      <c r="N107" t="str">
        <f>IF(tblProducts[[#This Row],[Review]]="","Missing",IF(tblProducts[[#This Row],[Review]]&gt;=Review_P75,"Strong Engagement","Normal"))</f>
        <v>Missing</v>
      </c>
    </row>
    <row r="108" spans="1:14" x14ac:dyDescent="0.25">
      <c r="A108" t="s">
        <v>311</v>
      </c>
      <c r="B108" s="8">
        <v>1190</v>
      </c>
      <c r="C108" s="8">
        <v>1810</v>
      </c>
      <c r="D108" s="6">
        <v>0.34</v>
      </c>
      <c r="G108" s="3" t="str">
        <f>IF(OR(tblProducts[[#This Row],[Rating]]&lt;0,tblProducts[[#This Row],[Rating]]&gt;5),"Check rating","OK")</f>
        <v>OK</v>
      </c>
      <c r="H108" s="7">
        <f t="shared" si="9"/>
        <v>620</v>
      </c>
      <c r="I108" s="3" t="str">
        <f t="shared" si="10"/>
        <v>Rating not provided</v>
      </c>
      <c r="J108" s="3" t="str">
        <f>IF(OR(tblProducts[[#This Row],[Discount]]&lt;0,tblProducts[[#This Row],[Discount]]&gt;1),"Check discount","OK")</f>
        <v>OK</v>
      </c>
      <c r="K108" t="str">
        <f t="shared" si="11"/>
        <v>Medium Discount</v>
      </c>
      <c r="L108" t="str">
        <f>IF(tblProducts[[#This Row],[Current Price]]="","Missing",IF(tblProducts[[#This Row],[Current Price]]&lt;=Price_Q1,"Low Price",IF(tblProducts[[#This Row],[Current Price]]&lt;=Price_Q3,"Medium Price","High Price")))</f>
        <v>Medium Price</v>
      </c>
      <c r="M108" t="str">
        <f>IF(tblProducts[[#This Row],[Current Price]]&gt;tblProducts[[#This Row],[Old Price]],"Check prices","OK")</f>
        <v>OK</v>
      </c>
      <c r="N108" t="str">
        <f>IF(tblProducts[[#This Row],[Review]]="","Missing",IF(tblProducts[[#This Row],[Review]]&gt;=Review_P75,"Strong Engagement","Normal"))</f>
        <v>Missing</v>
      </c>
    </row>
    <row r="109" spans="1:14" x14ac:dyDescent="0.25">
      <c r="A109" t="s">
        <v>313</v>
      </c>
      <c r="B109" s="8">
        <v>1658</v>
      </c>
      <c r="C109" s="8">
        <v>1699</v>
      </c>
      <c r="D109" s="6">
        <v>0.02</v>
      </c>
      <c r="G109" s="3" t="str">
        <f>IF(OR(tblProducts[[#This Row],[Rating]]&lt;0,tblProducts[[#This Row],[Rating]]&gt;5),"Check rating","OK")</f>
        <v>OK</v>
      </c>
      <c r="H109" s="7">
        <f t="shared" si="9"/>
        <v>41</v>
      </c>
      <c r="I109" s="3" t="str">
        <f t="shared" si="10"/>
        <v>Rating not provided</v>
      </c>
      <c r="J109" s="3" t="str">
        <f>IF(OR(tblProducts[[#This Row],[Discount]]&lt;0,tblProducts[[#This Row],[Discount]]&gt;1),"Check discount","OK")</f>
        <v>OK</v>
      </c>
      <c r="K109" t="str">
        <f t="shared" si="11"/>
        <v>Low Discount</v>
      </c>
      <c r="L109" t="str">
        <f>IF(tblProducts[[#This Row],[Current Price]]="","Missing",IF(tblProducts[[#This Row],[Current Price]]&lt;=Price_Q1,"Low Price",IF(tblProducts[[#This Row],[Current Price]]&lt;=Price_Q3,"Medium Price","High Price")))</f>
        <v>Medium Price</v>
      </c>
      <c r="M109" t="str">
        <f>IF(tblProducts[[#This Row],[Current Price]]&gt;tblProducts[[#This Row],[Old Price]],"Check prices","OK")</f>
        <v>OK</v>
      </c>
      <c r="N109" t="str">
        <f>IF(tblProducts[[#This Row],[Review]]="","Missing",IF(tblProducts[[#This Row],[Review]]&gt;=Review_P75,"Strong Engagement","Normal"))</f>
        <v>Missing</v>
      </c>
    </row>
    <row r="110" spans="1:14" x14ac:dyDescent="0.25">
      <c r="A110" t="s">
        <v>315</v>
      </c>
      <c r="B110" s="8">
        <v>1768</v>
      </c>
      <c r="C110" s="8">
        <v>1799</v>
      </c>
      <c r="D110" s="6">
        <v>0.02</v>
      </c>
      <c r="G110" s="3" t="str">
        <f>IF(OR(tblProducts[[#This Row],[Rating]]&lt;0,tblProducts[[#This Row],[Rating]]&gt;5),"Check rating","OK")</f>
        <v>OK</v>
      </c>
      <c r="H110" s="7">
        <f t="shared" si="9"/>
        <v>31</v>
      </c>
      <c r="I110" s="3" t="str">
        <f t="shared" si="10"/>
        <v>Rating not provided</v>
      </c>
      <c r="J110" s="3" t="str">
        <f>IF(OR(tblProducts[[#This Row],[Discount]]&lt;0,tblProducts[[#This Row],[Discount]]&gt;1),"Check discount","OK")</f>
        <v>OK</v>
      </c>
      <c r="K110" t="str">
        <f t="shared" si="11"/>
        <v>Low Discount</v>
      </c>
      <c r="L110" t="str">
        <f>IF(tblProducts[[#This Row],[Current Price]]="","Missing",IF(tblProducts[[#This Row],[Current Price]]&lt;=Price_Q1,"Low Price",IF(tblProducts[[#This Row],[Current Price]]&lt;=Price_Q3,"Medium Price","High Price")))</f>
        <v>High Price</v>
      </c>
      <c r="M110" t="str">
        <f>IF(tblProducts[[#This Row],[Current Price]]&gt;tblProducts[[#This Row],[Old Price]],"Check prices","OK")</f>
        <v>OK</v>
      </c>
      <c r="N110" t="str">
        <f>IF(tblProducts[[#This Row],[Review]]="","Missing",IF(tblProducts[[#This Row],[Review]]&gt;=Review_P75,"Strong Engagement","Normal"))</f>
        <v>Missing</v>
      </c>
    </row>
    <row r="111" spans="1:14" x14ac:dyDescent="0.25">
      <c r="A111" t="s">
        <v>317</v>
      </c>
      <c r="B111" s="8">
        <v>199</v>
      </c>
      <c r="C111" s="8">
        <v>553</v>
      </c>
      <c r="D111" s="6">
        <v>0.64</v>
      </c>
      <c r="G111" s="3" t="str">
        <f>IF(OR(tblProducts[[#This Row],[Rating]]&lt;0,tblProducts[[#This Row],[Rating]]&gt;5),"Check rating","OK")</f>
        <v>OK</v>
      </c>
      <c r="H111" s="7">
        <f t="shared" si="9"/>
        <v>354</v>
      </c>
      <c r="I111" s="3" t="str">
        <f t="shared" si="10"/>
        <v>Rating not provided</v>
      </c>
      <c r="J111" s="3" t="str">
        <f>IF(OR(tblProducts[[#This Row],[Discount]]&lt;0,tblProducts[[#This Row],[Discount]]&gt;1),"Check discount","OK")</f>
        <v>OK</v>
      </c>
      <c r="K111" t="str">
        <f t="shared" si="11"/>
        <v>High Discount</v>
      </c>
      <c r="L111" t="str">
        <f>IF(tblProducts[[#This Row],[Current Price]]="","Missing",IF(tblProducts[[#This Row],[Current Price]]&lt;=Price_Q1,"Low Price",IF(tblProducts[[#This Row],[Current Price]]&lt;=Price_Q3,"Medium Price","High Price")))</f>
        <v>Low Price</v>
      </c>
      <c r="M111" t="str">
        <f>IF(tblProducts[[#This Row],[Current Price]]&gt;tblProducts[[#This Row],[Old Price]],"Check prices","OK")</f>
        <v>OK</v>
      </c>
      <c r="N111" t="str">
        <f>IF(tblProducts[[#This Row],[Review]]="","Missing",IF(tblProducts[[#This Row],[Review]]&gt;=Review_P75,"Strong Engagement","Normal"))</f>
        <v>Missing</v>
      </c>
    </row>
    <row r="112" spans="1:14" x14ac:dyDescent="0.25">
      <c r="A112" t="s">
        <v>319</v>
      </c>
      <c r="B112" s="8">
        <v>450</v>
      </c>
      <c r="C112" s="8">
        <v>900</v>
      </c>
      <c r="D112" s="6">
        <v>0.5</v>
      </c>
      <c r="E112" s="14">
        <v>1</v>
      </c>
      <c r="F112" s="17">
        <v>2</v>
      </c>
      <c r="G112" s="3" t="str">
        <f>IF(OR(tblProducts[[#This Row],[Rating]]&lt;0,tblProducts[[#This Row],[Rating]]&gt;5),"Check rating","OK")</f>
        <v>OK</v>
      </c>
      <c r="H112" s="7">
        <f t="shared" si="9"/>
        <v>450</v>
      </c>
      <c r="I112" s="3" t="str">
        <f t="shared" si="10"/>
        <v>Poor</v>
      </c>
      <c r="J112" s="3" t="str">
        <f>IF(OR(tblProducts[[#This Row],[Discount]]&lt;0,tblProducts[[#This Row],[Discount]]&gt;1),"Check discount","OK")</f>
        <v>OK</v>
      </c>
      <c r="K112" t="str">
        <f t="shared" si="11"/>
        <v>High Discount</v>
      </c>
      <c r="L112" t="str">
        <f>IF(tblProducts[[#This Row],[Current Price]]="","Missing",IF(tblProducts[[#This Row],[Current Price]]&lt;=Price_Q1,"Low Price",IF(tblProducts[[#This Row],[Current Price]]&lt;=Price_Q3,"Medium Price","High Price")))</f>
        <v>Low Price</v>
      </c>
      <c r="M112" t="str">
        <f>IF(tblProducts[[#This Row],[Current Price]]&gt;tblProducts[[#This Row],[Old Price]],"Check prices","OK")</f>
        <v>OK</v>
      </c>
      <c r="N112" t="str">
        <f>IF(tblProducts[[#This Row],[Review]]="","Missing",IF(tblProducts[[#This Row],[Review]]&gt;=Review_P75,"Strong Engagement","Normal"))</f>
        <v>Normal</v>
      </c>
    </row>
    <row r="113" spans="1:14" x14ac:dyDescent="0.25">
      <c r="A113" t="s">
        <v>321</v>
      </c>
      <c r="B113" s="8">
        <v>169</v>
      </c>
      <c r="C113" s="8">
        <v>320</v>
      </c>
      <c r="D113" s="6">
        <v>0.47</v>
      </c>
      <c r="G113" s="3" t="str">
        <f>IF(OR(tblProducts[[#This Row],[Rating]]&lt;0,tblProducts[[#This Row],[Rating]]&gt;5),"Check rating","OK")</f>
        <v>OK</v>
      </c>
      <c r="H113" s="7">
        <f t="shared" si="9"/>
        <v>151</v>
      </c>
      <c r="I113" s="3" t="str">
        <f t="shared" si="10"/>
        <v>Rating not provided</v>
      </c>
      <c r="J113" s="3" t="str">
        <f>IF(OR(tblProducts[[#This Row],[Discount]]&lt;0,tblProducts[[#This Row],[Discount]]&gt;1),"Check discount","OK")</f>
        <v>OK</v>
      </c>
      <c r="K113" t="str">
        <f t="shared" si="11"/>
        <v>High Discount</v>
      </c>
      <c r="L113" t="str">
        <f>IF(tblProducts[[#This Row],[Current Price]]="","Missing",IF(tblProducts[[#This Row],[Current Price]]&lt;=Price_Q1,"Low Price",IF(tblProducts[[#This Row],[Current Price]]&lt;=Price_Q3,"Medium Price","High Price")))</f>
        <v>Low Price</v>
      </c>
      <c r="M113" t="str">
        <f>IF(tblProducts[[#This Row],[Current Price]]&gt;tblProducts[[#This Row],[Old Price]],"Check prices","OK")</f>
        <v>OK</v>
      </c>
      <c r="N113" t="str">
        <f>IF(tblProducts[[#This Row],[Review]]="","Missing",IF(tblProducts[[#This Row],[Review]]&gt;=Review_P75,"Strong Engagement","Normal"))</f>
        <v>Missing</v>
      </c>
    </row>
  </sheetData>
  <phoneticPr fontId="4"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DD2BC-16AE-4AD9-B755-184155FAF6FC}">
  <dimension ref="A3:O48"/>
  <sheetViews>
    <sheetView workbookViewId="0">
      <selection activeCell="M4" sqref="M4"/>
    </sheetView>
  </sheetViews>
  <sheetFormatPr defaultRowHeight="15" x14ac:dyDescent="0.25"/>
  <cols>
    <col min="1" max="1" width="71.28515625" bestFit="1" customWidth="1"/>
    <col min="4" max="4" width="11.42578125" customWidth="1"/>
    <col min="5" max="5" width="11.42578125" bestFit="1" customWidth="1"/>
    <col min="6" max="6" width="10.85546875" customWidth="1"/>
    <col min="7" max="7" width="8.42578125" customWidth="1"/>
    <col min="8" max="8" width="9.5703125" customWidth="1"/>
    <col min="9" max="9" width="8.42578125" customWidth="1"/>
    <col min="10" max="10" width="9.28515625" customWidth="1"/>
    <col min="11" max="11" width="10.5703125" customWidth="1"/>
  </cols>
  <sheetData>
    <row r="3" spans="1:15" s="15" customFormat="1" ht="105" x14ac:dyDescent="0.25">
      <c r="A3" s="15" t="s">
        <v>404</v>
      </c>
      <c r="B3" s="15" t="s">
        <v>405</v>
      </c>
      <c r="C3" s="15" t="s">
        <v>406</v>
      </c>
      <c r="D3" s="15" t="s">
        <v>380</v>
      </c>
      <c r="E3" s="15" t="s">
        <v>381</v>
      </c>
      <c r="F3" s="15" t="s">
        <v>382</v>
      </c>
      <c r="G3" s="15" t="s">
        <v>383</v>
      </c>
      <c r="H3" s="15" t="s">
        <v>384</v>
      </c>
      <c r="I3" s="15" t="s">
        <v>385</v>
      </c>
      <c r="J3" s="15" t="s">
        <v>386</v>
      </c>
      <c r="K3" s="15" t="s">
        <v>387</v>
      </c>
      <c r="L3" s="15" t="s">
        <v>389</v>
      </c>
      <c r="M3" s="19" t="s">
        <v>390</v>
      </c>
      <c r="N3" s="19" t="s">
        <v>391</v>
      </c>
      <c r="O3" s="20"/>
    </row>
    <row r="4" spans="1:15" x14ac:dyDescent="0.25">
      <c r="A4">
        <f>_xlfn.QUARTILE.INC(tblProducts[Current Price],1)</f>
        <v>493</v>
      </c>
      <c r="B4">
        <f>_xlfn.QUARTILE.INC(tblProducts[Current Price],3)</f>
        <v>1669.5</v>
      </c>
      <c r="C4">
        <f>_xlfn.PERCENTILE.INC(tblProducts[Review],0.75)</f>
        <v>14</v>
      </c>
      <c r="D4" s="18">
        <f>AVERAGE(tblProducts[Current Price])</f>
        <v>1186.8928571428571</v>
      </c>
      <c r="E4" s="18">
        <f>AVERAGE(tblProducts[Old Price])</f>
        <v>1811.1071428571429</v>
      </c>
      <c r="F4" s="6">
        <f>AVERAGE(tblProducts[Discount])</f>
        <v>0.36776785714285715</v>
      </c>
      <c r="G4" s="8">
        <f>AVERAGE(tblProducts[Rating])</f>
        <v>3.8894736842105258</v>
      </c>
      <c r="H4" s="14">
        <f>COUNTA(tblProducts[Product])</f>
        <v>112</v>
      </c>
      <c r="I4" s="14">
        <f>SUM(tblProducts[Review])</f>
        <v>723</v>
      </c>
      <c r="J4" s="3" t="str">
        <f>_xlfn.XLOOKUP(MAX(tblProducts[Current Price]), tblProducts[Current Price], tblProducts[Product])</f>
        <v>32PCS Portable Cordless Drill Set With Cyclic Battery Drive -26 Variable Speed</v>
      </c>
      <c r="K4" s="3" t="str">
        <f>_xlfn.XLOOKUP(MIN(tblProducts[Current Price]), tblProducts[Current Price], tblProducts[Product])</f>
        <v>3PCS Single Head Knitting Crochet Sweater Needle Set</v>
      </c>
      <c r="L4" s="7">
        <f>CORREL(tblProducts[Discount], tblProducts[Review])</f>
        <v>-0.13682272428088296</v>
      </c>
      <c r="M4" s="7">
        <f>CORREL(tblProducts[Rating], tblProducts[Review])</f>
        <v>5.7209035119876482E-2</v>
      </c>
      <c r="N4" s="7">
        <f>CORREL(tblProducts[Current Price], tblProducts[Rating])</f>
        <v>0.11009021272510708</v>
      </c>
    </row>
    <row r="6" spans="1:15" ht="15.75" x14ac:dyDescent="0.25">
      <c r="A6" s="4" t="s">
        <v>392</v>
      </c>
      <c r="D6" s="13" t="s">
        <v>395</v>
      </c>
    </row>
    <row r="7" spans="1:15" x14ac:dyDescent="0.25">
      <c r="A7" t="str" cm="1">
        <f t="array" ref="A7:A11">_xlfn.TAKE(_xlfn.SORTBY(tblProducts[Product], tblProducts[Rating], 1),5)</f>
        <v>Wall-mounted Sticker Punch-free Plug Fixer</v>
      </c>
      <c r="D7" s="8" t="str" cm="1">
        <f t="array" ref="D7:D16">_xlfn.TAKE(_xlfn.SORTBY(tblProducts[Product], tblProducts[Review],-1),10)</f>
        <v>120W Cordless Vacuum Cleaners Handheld Electric Vacuum Cleaner</v>
      </c>
    </row>
    <row r="8" spans="1:15" x14ac:dyDescent="0.25">
      <c r="A8" t="str">
        <v>5-PCS Stainless Steel Cooking Pot Set With Steamed Slices</v>
      </c>
      <c r="D8" s="8" t="str">
        <v>137 Pieces Cake Decorating Tool Set Baking Supplies</v>
      </c>
    </row>
    <row r="9" spans="1:15" x14ac:dyDescent="0.25">
      <c r="A9" t="str">
        <v>Electric LED UV Mosquito Killer Lamp, Outdoor/Indoor Fly Killer Trap Light -USB</v>
      </c>
      <c r="D9" s="8" t="str">
        <v>Electronic Digital Display Vernier Caliper</v>
      </c>
    </row>
    <row r="10" spans="1:15" x14ac:dyDescent="0.25">
      <c r="A10" t="str">
        <v>Artificial Potted Flowers Room Decorative Flowers (2 Pieces)</v>
      </c>
      <c r="D10" s="8" t="str">
        <v>3D Waterproof EVA Plastic Shower Curtain 1.8*2Mtrs</v>
      </c>
    </row>
    <row r="11" spans="1:15" x14ac:dyDescent="0.25">
      <c r="A11" t="str">
        <v>7-piece Set Of Storage Bags, Travel Storage Bags, Shoe Bags</v>
      </c>
      <c r="D11" s="8" t="str">
        <v>100 Pcs Crochet Hook Tool Set Knitting Hook Set With Box</v>
      </c>
    </row>
    <row r="12" spans="1:15" x14ac:dyDescent="0.25">
      <c r="D12" s="8" t="str">
        <v>Punch-free Great Load Bearing Bathroom Storage Rack Wall Shelf-White</v>
      </c>
    </row>
    <row r="13" spans="1:15" ht="15.75" x14ac:dyDescent="0.25">
      <c r="A13" s="4" t="s">
        <v>393</v>
      </c>
      <c r="D13" s="8" t="str">
        <v>53 Pieces/Set Yarn Knitting Crochet Hooks With Bag - Pansies</v>
      </c>
    </row>
    <row r="14" spans="1:15" x14ac:dyDescent="0.25">
      <c r="A14" t="str" cm="1">
        <f t="array" ref="A14:A18">_xlfn.TAKE(_xlfn.SORTBY(tblProducts[Product], tblProducts[Rating], -1),5)</f>
        <v>Anti-Skid Absorbent Insulation Coaster  For Home Office</v>
      </c>
      <c r="D14" s="8" t="str">
        <v>Portable Mini Cordless Car Vacuum Cleaner - Blue</v>
      </c>
    </row>
    <row r="15" spans="1:15" x14ac:dyDescent="0.25">
      <c r="A15" t="str">
        <v>Peacock  Throw Pillow Cushion Case For Home Car</v>
      </c>
      <c r="D15" s="8" t="str">
        <v>52 Pieces Cake Decorating Tool Set Gift Kit Baking Supplies</v>
      </c>
    </row>
    <row r="16" spans="1:15" x14ac:dyDescent="0.25">
      <c r="A16" t="str">
        <v>LASA Aluminum Folding Truck Hand Cart - 68kg Max</v>
      </c>
      <c r="D16" s="8" t="str">
        <v>53Pcs/Set Yarn Knitting Crochet Hooks With Bag - Fortune Cat</v>
      </c>
    </row>
    <row r="17" spans="1:4" x14ac:dyDescent="0.25">
      <c r="A17" t="str">
        <v>DIY File Folder, Office Drawer File Holder, Pen Holder, Desktop Storage Rack</v>
      </c>
    </row>
    <row r="18" spans="1:4" x14ac:dyDescent="0.25">
      <c r="A18" t="str">
        <v>Classic Black Cat Cotton Hemp Pillow Case For Home Car</v>
      </c>
    </row>
    <row r="20" spans="1:4" ht="15.75" x14ac:dyDescent="0.25">
      <c r="A20" s="13" t="s">
        <v>394</v>
      </c>
      <c r="D20" s="4" t="s">
        <v>396</v>
      </c>
    </row>
    <row r="21" spans="1:4" x14ac:dyDescent="0.25">
      <c r="A21" s="8" t="str" cm="1">
        <f t="array" ref="A21:A30">_xlfn.TAKE(_xlfn.SORTBY(tblProducts[Product], tblProducts[Discount],-1),10)</f>
        <v>6 In 1 Bottle Can Opener Multifunctional Easy Opener</v>
      </c>
      <c r="D21" t="str" cm="1">
        <f t="array" ref="D21:D30">_xlfn.TAKE(_xlfn.SORTBY(tblProducts[Product], tblProducts[Rating],-1),10)</f>
        <v>Anti-Skid Absorbent Insulation Coaster  For Home Office</v>
      </c>
    </row>
    <row r="22" spans="1:4" x14ac:dyDescent="0.25">
      <c r="A22" s="8" t="str">
        <v>Creative Owl Shape Keychain Black</v>
      </c>
      <c r="D22" t="str">
        <v>Peacock  Throw Pillow Cushion Case For Home Car</v>
      </c>
    </row>
    <row r="23" spans="1:4" x14ac:dyDescent="0.25">
      <c r="A23" s="8" t="str">
        <v>LASA FOLDING TABLE SERVING STAND</v>
      </c>
      <c r="D23" t="str">
        <v>LASA Aluminum Folding Truck Hand Cart - 68kg Max</v>
      </c>
    </row>
    <row r="24" spans="1:4" x14ac:dyDescent="0.25">
      <c r="A24" s="8" t="str">
        <v>Simple Metal Dog Art Sculpture Decoration For Home Office</v>
      </c>
      <c r="D24" t="str">
        <v>DIY File Folder, Office Drawer File Holder, Pen Holder, Desktop Storage Rack</v>
      </c>
    </row>
    <row r="25" spans="1:4" x14ac:dyDescent="0.25">
      <c r="A25" s="8" t="str">
        <v>5-PCS Stainless Steel Cooking Pot Set With Steamed Slices</v>
      </c>
      <c r="D25" t="str">
        <v>Classic Black Cat Cotton Hemp Pillow Case For Home Car</v>
      </c>
    </row>
    <row r="26" spans="1:4" x14ac:dyDescent="0.25">
      <c r="A26" s="8" t="str">
        <v>LASA 3 Tier Bamboo Shoe Bench Storage Shelf</v>
      </c>
      <c r="D26" t="str">
        <v>Bedroom Simple Floor Hanging Clothes Rack Single Pole Hat Rack - White</v>
      </c>
    </row>
    <row r="27" spans="1:4" x14ac:dyDescent="0.25">
      <c r="A27" s="8" t="str">
        <v>Mythco 120COB Solar Wall Ligt With Motion Sensor And Remote Control 3 Modes</v>
      </c>
      <c r="D27" t="str">
        <v>Konka Healty Electric Kettle, 24-hour Heat Preservation,1.5L,800W, White</v>
      </c>
    </row>
    <row r="28" spans="1:4" x14ac:dyDescent="0.25">
      <c r="A28" s="8" t="str">
        <v>3PCS Single Head Knitting Crochet Sweater Needle Set</v>
      </c>
      <c r="D28" t="str">
        <v>Portable Home Small Air Humidifier 3-Speed Fan - Green</v>
      </c>
    </row>
    <row r="29" spans="1:4" x14ac:dyDescent="0.25">
      <c r="A29" s="8" t="str">
        <v>Classic Black Cat Cotton Hemp Pillow Case For Home Car</v>
      </c>
      <c r="D29" t="str">
        <v>LASA FOLDING TABLE SERVING STAND</v>
      </c>
    </row>
    <row r="30" spans="1:4" x14ac:dyDescent="0.25">
      <c r="A30" s="8" t="str">
        <v>Exfoliate And Exfoliate Face Towel - Black</v>
      </c>
      <c r="D30" t="str">
        <v>40cm Gold DIY Acrylic Wall Sticker Clock</v>
      </c>
    </row>
    <row r="32" spans="1:4" ht="15.75" x14ac:dyDescent="0.25">
      <c r="A32" s="4" t="s">
        <v>398</v>
      </c>
      <c r="D32" s="4" t="s">
        <v>400</v>
      </c>
    </row>
    <row r="33" spans="1:4" x14ac:dyDescent="0.25">
      <c r="A33" t="str" cm="1">
        <f t="array" ref="A33:A42">_xlfn._xlws.FILTER(tblProducts[Product], (tblProducts[Discount Category]="High Discount")* (tblProducts[Rating Category]="Poor"), "No products found")</f>
        <v>5-PCS Stainless Steel Cooking Pot Set With Steamed Slices</v>
      </c>
      <c r="D33" t="str" cm="1">
        <f t="array" ref="D33:D48">_xlfn._xlws.FILTER(tblProducts[Product], tblProducts[Customer Engagement] = "Strong Engagement")</f>
        <v>Metal Decorative Hooks Key Hangers Entryway Wall Hooks Towel Hooks - Home</v>
      </c>
    </row>
    <row r="34" spans="1:4" x14ac:dyDescent="0.25">
      <c r="A34" t="str">
        <v>120W Cordless Vacuum Cleaners Handheld Electric Vacuum Cleaner</v>
      </c>
      <c r="D34" t="str">
        <v>Portable Mini Cordless Car Vacuum Cleaner - Blue</v>
      </c>
    </row>
    <row r="35" spans="1:4" x14ac:dyDescent="0.25">
      <c r="A35" t="str">
        <v>Intelligent  LED Body Sensor Wireless Lighting Night Light USB</v>
      </c>
      <c r="D35" t="str">
        <v>220V 60W Electric Soldering Iron Kits With Tools, Tips, And Multimeter</v>
      </c>
    </row>
    <row r="36" spans="1:4" x14ac:dyDescent="0.25">
      <c r="A36" t="str">
        <v>Artificial Potted Flowers Room Decorative Flowers (2 Pieces)</v>
      </c>
      <c r="D36" t="str">
        <v>137 Pieces Cake Decorating Tool Set Baking Supplies</v>
      </c>
    </row>
    <row r="37" spans="1:4" x14ac:dyDescent="0.25">
      <c r="A37" t="str">
        <v>380ML USB Rechargeable Portable Small Blenders And Juicers</v>
      </c>
      <c r="D37" t="str">
        <v>100 Pcs Crochet Hook Tool Set Knitting Hook Set With Box</v>
      </c>
    </row>
    <row r="38" spans="1:4" x14ac:dyDescent="0.25">
      <c r="A38" t="str">
        <v>Agapeon Toothbrush Holder And Toothpaste Dispenser</v>
      </c>
      <c r="D38" t="str">
        <v>3D Waterproof EVA Plastic Shower Curtain 1.8*2Mtrs</v>
      </c>
    </row>
    <row r="39" spans="1:4" x14ac:dyDescent="0.25">
      <c r="A39" t="str">
        <v>Watercolour Gold Foil Textured Print Pillow Cover</v>
      </c>
      <c r="D39" t="str">
        <v>Foldable Overbed Table/Desk</v>
      </c>
    </row>
    <row r="40" spans="1:4" x14ac:dyDescent="0.25">
      <c r="A40" t="str">
        <v>7-piece Set Of Storage Bags, Travel Storage Bags, Shoe Bags</v>
      </c>
      <c r="D40" t="str">
        <v>Electronic Digital Display Vernier Caliper</v>
      </c>
    </row>
    <row r="41" spans="1:4" x14ac:dyDescent="0.25">
      <c r="A41" t="str">
        <v>Electric LED UV Mosquito Killer Lamp, Outdoor/Indoor Fly Killer Trap Light -USB</v>
      </c>
      <c r="D41" t="str">
        <v>52 Pieces Cake Decorating Tool Set Gift Kit Baking Supplies</v>
      </c>
    </row>
    <row r="42" spans="1:4" x14ac:dyDescent="0.25">
      <c r="A42" t="str">
        <v>Wall-mounted Sticker Punch-free Plug Fixer</v>
      </c>
      <c r="D42" t="str">
        <v>53Pcs/Set Yarn Knitting Crochet Hooks With Bag - Fortune Cat</v>
      </c>
    </row>
    <row r="43" spans="1:4" x14ac:dyDescent="0.25">
      <c r="D43" t="str">
        <v>53 Pieces/Set Yarn Knitting Crochet Hooks With Bag - Pansies</v>
      </c>
    </row>
    <row r="44" spans="1:4" x14ac:dyDescent="0.25">
      <c r="D44" t="str">
        <v>Punch-free Great Load Bearing Bathroom Storage Rack Wall Shelf-White</v>
      </c>
    </row>
    <row r="45" spans="1:4" x14ac:dyDescent="0.25">
      <c r="D45" t="str">
        <v>120W Cordless Vacuum Cleaners Handheld Electric Vacuum Cleaner</v>
      </c>
    </row>
    <row r="46" spans="1:4" x14ac:dyDescent="0.25">
      <c r="D46" t="str">
        <v>Intelligent  LED Body Sensor Wireless Lighting Night Light USB</v>
      </c>
    </row>
    <row r="47" spans="1:4" x14ac:dyDescent="0.25">
      <c r="D47" t="str">
        <v>VIC Wireless Vacuum Cleaner Dual Use For Home And Car 120W High Power Powerful</v>
      </c>
    </row>
    <row r="48" spans="1:4" x14ac:dyDescent="0.25">
      <c r="D48" t="str">
        <v>Agapeon Toothbrush Holder And Toothpaste Dispenser</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B6DA-2225-44E8-93B8-3B3B2BFD0D36}">
  <dimension ref="A1:E9"/>
  <sheetViews>
    <sheetView workbookViewId="0">
      <selection activeCell="G5" sqref="G5"/>
    </sheetView>
  </sheetViews>
  <sheetFormatPr defaultRowHeight="15" x14ac:dyDescent="0.25"/>
  <cols>
    <col min="1" max="1" width="11.28515625" customWidth="1"/>
    <col min="2" max="2" width="33.28515625" style="5" customWidth="1"/>
    <col min="3" max="3" width="26" style="5" customWidth="1"/>
    <col min="4" max="4" width="31.7109375" style="5" customWidth="1"/>
    <col min="5" max="5" width="47" style="5" customWidth="1"/>
  </cols>
  <sheetData>
    <row r="1" spans="1:5" ht="15.75" x14ac:dyDescent="0.25">
      <c r="A1" t="s">
        <v>359</v>
      </c>
      <c r="B1" s="4" t="s">
        <v>340</v>
      </c>
      <c r="C1" s="4" t="s">
        <v>341</v>
      </c>
      <c r="D1" s="4" t="s">
        <v>342</v>
      </c>
      <c r="E1" s="4" t="s">
        <v>343</v>
      </c>
    </row>
    <row r="2" spans="1:5" ht="60" x14ac:dyDescent="0.25">
      <c r="A2" s="10">
        <v>1</v>
      </c>
      <c r="B2" s="11" t="s">
        <v>344</v>
      </c>
      <c r="C2" s="11">
        <v>3</v>
      </c>
      <c r="D2" s="11" t="s">
        <v>354</v>
      </c>
      <c r="E2" s="11" t="s">
        <v>355</v>
      </c>
    </row>
    <row r="3" spans="1:5" ht="30" x14ac:dyDescent="0.25">
      <c r="A3" s="10">
        <v>2</v>
      </c>
      <c r="B3" s="11" t="s">
        <v>345</v>
      </c>
      <c r="C3" s="11">
        <v>112</v>
      </c>
      <c r="D3" s="11" t="s">
        <v>346</v>
      </c>
      <c r="E3" s="11" t="s">
        <v>347</v>
      </c>
    </row>
    <row r="4" spans="1:5" ht="30" x14ac:dyDescent="0.25">
      <c r="A4" s="10">
        <v>3</v>
      </c>
      <c r="B4" s="11" t="s">
        <v>349</v>
      </c>
      <c r="C4" s="11" t="s">
        <v>350</v>
      </c>
      <c r="D4" s="11" t="s">
        <v>351</v>
      </c>
      <c r="E4" s="11" t="s">
        <v>352</v>
      </c>
    </row>
    <row r="5" spans="1:5" ht="60" x14ac:dyDescent="0.25">
      <c r="A5" s="10">
        <v>4</v>
      </c>
      <c r="B5" s="11" t="s">
        <v>356</v>
      </c>
      <c r="C5" s="11">
        <v>112</v>
      </c>
      <c r="D5" s="11" t="s">
        <v>360</v>
      </c>
      <c r="E5" s="11" t="s">
        <v>357</v>
      </c>
    </row>
    <row r="6" spans="1:5" ht="45" x14ac:dyDescent="0.25">
      <c r="A6" s="10">
        <v>5</v>
      </c>
      <c r="B6" s="11" t="s">
        <v>358</v>
      </c>
      <c r="C6" s="11">
        <v>112</v>
      </c>
      <c r="D6" s="11" t="s">
        <v>361</v>
      </c>
      <c r="E6" s="11" t="s">
        <v>362</v>
      </c>
    </row>
    <row r="7" spans="1:5" ht="60" x14ac:dyDescent="0.25">
      <c r="A7" s="10">
        <v>6</v>
      </c>
      <c r="B7" s="11" t="s">
        <v>363</v>
      </c>
      <c r="C7" s="11" t="s">
        <v>364</v>
      </c>
      <c r="D7" s="11" t="s">
        <v>365</v>
      </c>
      <c r="E7" s="11" t="s">
        <v>417</v>
      </c>
    </row>
    <row r="8" spans="1:5" ht="30" x14ac:dyDescent="0.25">
      <c r="A8" s="10">
        <v>7</v>
      </c>
      <c r="B8" s="11" t="s">
        <v>366</v>
      </c>
      <c r="C8" s="11">
        <v>0</v>
      </c>
      <c r="D8" s="11" t="s">
        <v>367</v>
      </c>
      <c r="E8" s="11" t="s">
        <v>368</v>
      </c>
    </row>
    <row r="9" spans="1:5" ht="30" x14ac:dyDescent="0.25">
      <c r="A9" s="10">
        <v>8</v>
      </c>
      <c r="B9" s="11" t="s">
        <v>369</v>
      </c>
      <c r="C9" s="11">
        <v>57</v>
      </c>
      <c r="D9" s="11" t="s">
        <v>370</v>
      </c>
      <c r="E9" s="11" t="s">
        <v>371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68CB-75D3-4058-9927-6EF842EE7120}">
  <dimension ref="A1"/>
  <sheetViews>
    <sheetView workbookViewId="0">
      <selection activeCell="A20" sqref="A20"/>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CB965D-B553-4CDB-BDB0-FD0FB17690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Raw_Data</vt:lpstr>
      <vt:lpstr>Data_Quality_Audit</vt:lpstr>
      <vt:lpstr>Rating_Mix</vt:lpstr>
      <vt:lpstr>Discount_Mix</vt:lpstr>
      <vt:lpstr>Price_vs_Rating</vt:lpstr>
      <vt:lpstr>Engagement_by_Discount</vt:lpstr>
      <vt:lpstr>Top_Products_By_Rating</vt:lpstr>
      <vt:lpstr>Top_Products_By_Discount</vt:lpstr>
      <vt:lpstr>Top_Products_By_Reviews</vt:lpstr>
      <vt:lpstr>Cleaned_Data</vt:lpstr>
      <vt:lpstr>Analysis_Sheet</vt:lpstr>
      <vt:lpstr>Data_Dictionary</vt:lpstr>
      <vt:lpstr>Dashboard</vt:lpstr>
      <vt:lpstr>Price_Q1</vt:lpstr>
      <vt:lpstr>Price_Q3</vt:lpstr>
      <vt:lpstr>Review_P75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Ndiritu</dc:creator>
  <cp:lastModifiedBy>Denis Ndiritu</cp:lastModifiedBy>
  <dcterms:created xsi:type="dcterms:W3CDTF">2026-08-30T07:47:44Z</dcterms:created>
  <dcterms:modified xsi:type="dcterms:W3CDTF">2026-09-05T10:38:51Z</dcterms:modified>
</cp:coreProperties>
</file>